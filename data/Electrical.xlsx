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AL" sheetId="1" r:id="rId5"/>
  </sheets>
  <definedNames/>
  <calcPr/>
</workbook>
</file>

<file path=xl/sharedStrings.xml><?xml version="1.0" encoding="utf-8"?>
<sst xmlns="http://schemas.openxmlformats.org/spreadsheetml/2006/main" count="204" uniqueCount="74">
  <si>
    <t>Cumulative Attendance Report - Overall</t>
  </si>
  <si>
    <t>51 - Faculty of Engineering &amp; Technology</t>
  </si>
  <si>
    <t>003 - Electrical Engineering</t>
  </si>
  <si>
    <t>B.TECH. ELECTRICAL ENGINEERING SEMESTER - 3 ATTENDANCE REPORT</t>
  </si>
  <si>
    <t>Div</t>
  </si>
  <si>
    <t>Batch</t>
  </si>
  <si>
    <t>Roll No</t>
  </si>
  <si>
    <t>Reg. No</t>
  </si>
  <si>
    <t>Enr. No.</t>
  </si>
  <si>
    <t>Student's Name</t>
  </si>
  <si>
    <t>Status</t>
  </si>
  <si>
    <t>Points Earns</t>
  </si>
  <si>
    <t xml:space="preserve">Total Hours attended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</si>
  <si>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</si>
  <si>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</si>
  <si>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</si>
  <si>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</si>
  <si>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</si>
  <si>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</si>
  <si>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</si>
  <si>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</si>
  <si>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</si>
  <si>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</si>
  <si>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</si>
  <si>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</si>
  <si>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</si>
  <si>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</si>
  <si>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</si>
  <si>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</si>
  <si>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</si>
  <si>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E</t>
  </si>
  <si>
    <t>E1</t>
  </si>
  <si>
    <t>Bhimani Renish Ramjibhai</t>
  </si>
  <si>
    <t>Niyatar Tanaz Arifbhai</t>
  </si>
  <si>
    <t>Umang Parmar</t>
  </si>
  <si>
    <t>Waghela Shubham Rajeshbhai</t>
  </si>
  <si>
    <t>Vara Kaushal Vinodbhai</t>
  </si>
  <si>
    <t>Sherasiya Arman Tajudin</t>
  </si>
  <si>
    <t>Shingala Kaushal Bhupatbhai</t>
  </si>
  <si>
    <t>Maru Krishna Chandubhai</t>
  </si>
  <si>
    <t>Rakhshiya Hitraj Bhanjibhai</t>
  </si>
  <si>
    <t>Fachara Nandan Manishbhai</t>
  </si>
  <si>
    <t>Makadiya Kaushal Denishbhai</t>
  </si>
  <si>
    <t>Dabhi Nayan Sureshbhai</t>
  </si>
  <si>
    <t>B.TECH. ELECTRICAL ENGINEERING SEMESTER - 5 ATTENDANCE REPORT</t>
  </si>
  <si>
    <t>Vaza Rajvir Rameshbhai</t>
  </si>
  <si>
    <t>Jadeja Harishchandrasinh Dipaksinh</t>
  </si>
  <si>
    <t>Pal Randhirkumar Radheshyam</t>
  </si>
  <si>
    <t>Anurag Mishra</t>
  </si>
  <si>
    <t>Bagda Piyush Arjanbhai</t>
  </si>
  <si>
    <t>Chauhan Nitin Hareshbhai</t>
  </si>
  <si>
    <t>Pandya Jash</t>
  </si>
  <si>
    <t>Patanwadiya Ronakkumar Sureshbhai</t>
  </si>
  <si>
    <t>Tatmiya Kaushal Dharmeshbhai</t>
  </si>
  <si>
    <t>Thaker Devansh Hiteshbhai</t>
  </si>
  <si>
    <t>Umang Pankhaniya</t>
  </si>
  <si>
    <t>B.TECH. ELECTRICAL ENGINEERING SEMESTER - 7 ATTENDANCE REPORT</t>
  </si>
  <si>
    <t>Chudasama Jenil Ashishbhai</t>
  </si>
  <si>
    <t>Butani Bhargav Jayantibhai</t>
  </si>
  <si>
    <t>Gachchhar Manishkumar Rameshbhai</t>
  </si>
  <si>
    <t>Gadara Jay Dilipbhai</t>
  </si>
  <si>
    <t>Godavariya Frenchish Pravinbhai</t>
  </si>
  <si>
    <t>Hapaliya Soham Shivlal</t>
  </si>
  <si>
    <t>Jani Meet Nileshbhai</t>
  </si>
  <si>
    <t>Kachali Umer Farukbhai</t>
  </si>
  <si>
    <t>Mahida Nikhil Ravajibhai</t>
  </si>
  <si>
    <t>Makwana Tanay Jagdishbhai</t>
  </si>
  <si>
    <t>Patar Maulikkumar Pravinbhai</t>
  </si>
  <si>
    <t>Sanepara Jay Bharatbhai</t>
  </si>
  <si>
    <t>Sejpal Aakash Nileshbhai</t>
  </si>
  <si>
    <t>Shyara Yagnik Vijaybhai</t>
  </si>
  <si>
    <t>Solanki Nandani</t>
  </si>
  <si>
    <t>Visani Vatsal Dipakbhai</t>
  </si>
  <si>
    <t>Zala Harshraj Jitendrabhai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</si>
</sst>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4.0"/>
      <color theme="1"/>
      <name val="Calibri"/>
    </font>
    <font/>
    <font>
      <sz val="10.0"/>
      <color theme="1"/>
      <name val="Arial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rgb="FF333333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shrinkToFit="0" wrapText="1"/>
    </xf>
    <xf borderId="9" fillId="2" fontId="4" numFmtId="0" xfId="0" applyAlignment="1" applyBorder="1" applyFill="1" applyFont="1">
      <alignment horizontal="center" shrinkToFit="0" wrapText="1"/>
    </xf>
    <xf borderId="9" fillId="2" fontId="4" numFmtId="0" xfId="0" applyAlignment="1" applyBorder="1" applyFill="1" applyFont="1">
      <alignment horizontal="center" vertical="bottom"/>
    </xf>
    <xf borderId="9" fillId="2" fontId="4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shrinkToFit="0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shrinkToFit="0" wrapText="1"/>
    </xf>
    <xf borderId="9" fillId="3" fontId="7" numFmtId="10" xfId="0" applyAlignment="1" applyBorder="1" applyFill="1" applyFont="1" applyNumberFormat="1">
      <alignment horizontal="center" readingOrder="0"/>
    </xf>
    <xf borderId="9" fillId="3" fontId="7" numFmtId="4" xfId="0" applyAlignment="1" applyBorder="1" applyFill="1" applyFont="1" applyNumberFormat="1">
      <alignment horizontal="center" readingOrder="0"/>
    </xf>
    <xf borderId="9" fillId="3" fontId="7" numFmtId="0" xfId="0" applyAlignment="1" applyBorder="1" applyFill="1" applyFont="1">
      <alignment horizontal="center" readingOrder="0"/>
    </xf>
    <xf borderId="9" fillId="0" fontId="8" numFmtId="0" xfId="0" applyBorder="1" applyFont="1"/>
    <xf borderId="9" fillId="0" fontId="3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 shrinkToFit="0" wrapText="1"/>
    </xf>
    <xf borderId="11" fillId="0" fontId="2" numFmtId="0" xfId="0" applyBorder="1" applyFont="1"/>
    <xf borderId="12" fillId="0" fontId="2" numFmtId="0" xfId="0" applyBorder="1" applyFont="1"/>
    <xf borderId="9" fillId="0" fontId="3" numFmtId="10" xfId="0" applyAlignment="1" applyBorder="1" applyFont="1" applyNumberFormat="1">
      <alignment shrinkToFit="0" wrapText="1"/>
    </xf>
    <xf borderId="13" fillId="0" fontId="3" numFmtId="0" xfId="0" applyAlignment="1" applyBorder="1" applyFont="1">
      <alignment shrinkToFit="0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.14"/>
    <col customWidth="1" min="4" max="4" width="15.43"/>
    <col customWidth="1" min="5" max="5" width="14.0"/>
    <col customWidth="1" min="6" max="6" width="33.86"/>
    <col customWidth="1" min="7" max="7" width="9.86"/>
    <col customWidth="1" min="8" max="8" width="8.29"/>
    <col customWidth="1" min="9" max="9" width="9.14"/>
    <col customWidth="1" min="10" max="10" width="14.57"/>
    <col customWidth="1" min="11" max="11" width="14.14"/>
    <col customWidth="1" min="12" max="31" width="9.14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9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9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9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"/>
      <c r="AB4" s="4"/>
      <c r="AC4" s="4"/>
      <c r="AD4" s="4"/>
      <c r="AE4" s="4"/>
    </row>
    <row r="5">
      <c r="A5" s="9"/>
      <c r="B5" s="9"/>
      <c r="C5" s="9"/>
      <c r="D5" s="9"/>
      <c r="E5" s="9"/>
      <c r="F5" s="9"/>
      <c r="G5" s="10"/>
      <c r="H5" s="10"/>
      <c r="I5" s="10"/>
      <c r="J5" s="10"/>
      <c r="K5" s="10"/>
      <c r="L5" s="11">
        <v>1.0</v>
      </c>
      <c r="M5" s="11">
        <v>1.0</v>
      </c>
      <c r="N5" s="11">
        <v>1.0</v>
      </c>
      <c r="O5" s="11">
        <v>1.0</v>
      </c>
      <c r="P5" s="11">
        <v>1.0</v>
      </c>
      <c r="Q5" s="11">
        <v>1.0</v>
      </c>
      <c r="R5" s="11">
        <v>1.0</v>
      </c>
      <c r="S5" s="11">
        <v>1.0</v>
      </c>
      <c r="T5" s="11">
        <v>1.0</v>
      </c>
      <c r="U5" s="11">
        <v>1.0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2"/>
      <c r="AB5" s="4"/>
      <c r="AC5" s="4"/>
      <c r="AD5" s="4"/>
      <c r="AE5" s="4"/>
    </row>
    <row r="6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  <c r="I6" s="15" t="s">
        <v>12</v>
      </c>
      <c r="J6" s="15" t="s">
        <v>13</v>
      </c>
      <c r="K6" s="15" t="s">
        <v>14</v>
      </c>
      <c r="L6" s="16" t="s">
        <v>15</v>
      </c>
      <c r="M6" s="16" t="s">
        <v>16</v>
      </c>
      <c r="N6" s="16" t="s">
        <v>17</v>
      </c>
      <c r="O6" s="16" t="s">
        <v>18</v>
      </c>
      <c r="P6" s="16" t="s">
        <v>19</v>
      </c>
      <c r="Q6" s="16" t="s">
        <v>20</v>
      </c>
      <c r="R6" s="16" t="s">
        <v>21</v>
      </c>
      <c r="S6" s="16" t="s">
        <v>22</v>
      </c>
      <c r="T6" s="16" t="s">
        <v>23</v>
      </c>
      <c r="U6" s="16" t="s">
        <v>24</v>
      </c>
      <c r="V6" s="16" t="s">
        <v>25</v>
      </c>
      <c r="W6" s="16" t="s">
        <v>26</v>
      </c>
      <c r="X6" s="16" t="s">
        <v>27</v>
      </c>
      <c r="Y6" s="16" t="s">
        <v>28</v>
      </c>
      <c r="Z6" s="16" t="s">
        <v>29</v>
      </c>
      <c r="AA6" s="12"/>
      <c r="AB6" s="4"/>
      <c r="AC6" s="4"/>
      <c r="AD6" s="4"/>
      <c r="AE6" s="4"/>
    </row>
    <row r="7">
      <c r="A7" s="17" t="s">
        <v>30</v>
      </c>
      <c r="B7" s="17" t="s">
        <v>31</v>
      </c>
      <c r="C7" s="17">
        <v>1.0</v>
      </c>
      <c r="D7" s="17">
        <v>1.511552501E10</v>
      </c>
      <c r="E7" s="17">
        <v>2.50003001E8</v>
      </c>
      <c r="F7" s="18" t="s">
        <v>32</v>
      </c>
      <c r="G7" s="19" t="str">
        <f t="shared" ref="G7:G19" si="1">IF(H7&gt;=0,"OK",IF(K7&gt;=J7,"Completed","Pending"))</f>
        <v>OK</v>
      </c>
      <c r="H7" s="20">
        <f t="shared" ref="H7:H19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3</v>
      </c>
      <c r="I7" s="21">
        <f t="shared" ref="I7:I19" si="3">round(30*((L7*$L$5)+(M7*$M$5)+(N7*$N$5)+(O7*$O$5)+(P7*$P$5)+(Q7*$Q$5)+(R7*$R$5)+(S7*$S$5)+(T7*$T$5)+(U7*$U$5)+(V7*$V$5)+(W7*$W$5)+(X7*$X$5)+(Y7*$Y$5)+(Z7*$Z$5)+(AA7*$AA$5)),0)</f>
        <v>250</v>
      </c>
      <c r="J7" s="21">
        <f t="shared" ref="J7:J19" si="4">if(I7&lt;(24*($L$5+$M$5+$N$5+$O$5+$P$5+$Q$5+$R$5+$S$5+$T$5+$V$5+$U$5+$W$5+$X$5+$Y$5+$Z$5+$AA$5)),abs(I7-(24*($L$5+$M$5+$N$5+$O$5+$P$5+$Q$5+$R$5+$S$5+$T$5+$V$5+$U$5+$W$5+$X$5+$Y$5+$Z$5+$AA$5))),0)</f>
        <v>0</v>
      </c>
      <c r="K7" s="21"/>
      <c r="L7" s="19">
        <v>0.6818</v>
      </c>
      <c r="M7" s="19">
        <v>0.6111</v>
      </c>
      <c r="N7" s="19">
        <v>0.6957</v>
      </c>
      <c r="O7" s="19">
        <v>0.7083</v>
      </c>
      <c r="P7" s="19">
        <v>0.913</v>
      </c>
      <c r="Q7" s="19">
        <v>1.0</v>
      </c>
      <c r="R7" s="19">
        <v>0.8696</v>
      </c>
      <c r="S7" s="19">
        <v>0.913</v>
      </c>
      <c r="T7" s="19">
        <v>0.9565</v>
      </c>
      <c r="U7" s="19">
        <v>1.0</v>
      </c>
      <c r="V7" s="22"/>
      <c r="W7" s="22"/>
      <c r="X7" s="22"/>
      <c r="Y7" s="23"/>
      <c r="Z7" s="23"/>
      <c r="AA7" s="12"/>
      <c r="AB7" s="4"/>
      <c r="AC7" s="4"/>
      <c r="AD7" s="4"/>
      <c r="AE7" s="4"/>
    </row>
    <row r="8">
      <c r="A8" s="17" t="s">
        <v>30</v>
      </c>
      <c r="B8" s="17" t="s">
        <v>31</v>
      </c>
      <c r="C8" s="17">
        <v>2.0</v>
      </c>
      <c r="D8" s="17">
        <v>1.5115525012E10</v>
      </c>
      <c r="E8" s="17">
        <v>2.50003003E8</v>
      </c>
      <c r="F8" s="18" t="s">
        <v>33</v>
      </c>
      <c r="G8" s="19" t="str">
        <f t="shared" si="1"/>
        <v>OK</v>
      </c>
      <c r="H8" s="20">
        <f t="shared" si="2"/>
        <v>3</v>
      </c>
      <c r="I8" s="21">
        <f t="shared" si="3"/>
        <v>250</v>
      </c>
      <c r="J8" s="21">
        <f t="shared" si="4"/>
        <v>0</v>
      </c>
      <c r="K8" s="21"/>
      <c r="L8" s="19">
        <v>0.9091</v>
      </c>
      <c r="M8" s="19">
        <v>0.6111</v>
      </c>
      <c r="N8" s="19">
        <v>0.913</v>
      </c>
      <c r="O8" s="19">
        <v>0.9167</v>
      </c>
      <c r="P8" s="19">
        <v>0.7826</v>
      </c>
      <c r="Q8" s="19">
        <v>0.8261</v>
      </c>
      <c r="R8" s="19">
        <v>0.7391</v>
      </c>
      <c r="S8" s="19">
        <v>0.8261</v>
      </c>
      <c r="T8" s="19">
        <v>0.8261</v>
      </c>
      <c r="U8" s="19">
        <v>1.0</v>
      </c>
      <c r="V8" s="23"/>
      <c r="W8" s="23"/>
      <c r="X8" s="23"/>
      <c r="Y8" s="23"/>
      <c r="Z8" s="23"/>
      <c r="AA8" s="12"/>
      <c r="AB8" s="4"/>
      <c r="AC8" s="4"/>
      <c r="AD8" s="4"/>
      <c r="AE8" s="4"/>
    </row>
    <row r="9">
      <c r="A9" s="17" t="s">
        <v>30</v>
      </c>
      <c r="B9" s="17" t="s">
        <v>31</v>
      </c>
      <c r="C9" s="17">
        <v>3.0</v>
      </c>
      <c r="D9" s="17">
        <v>1.5115525016E10</v>
      </c>
      <c r="E9" s="17">
        <v>2.50003005E8</v>
      </c>
      <c r="F9" s="18" t="s">
        <v>34</v>
      </c>
      <c r="G9" s="19" t="str">
        <f t="shared" si="1"/>
        <v>Pending</v>
      </c>
      <c r="H9" s="20">
        <f t="shared" si="2"/>
        <v>-7</v>
      </c>
      <c r="I9" s="21">
        <f t="shared" si="3"/>
        <v>218</v>
      </c>
      <c r="J9" s="21">
        <f t="shared" si="4"/>
        <v>22</v>
      </c>
      <c r="K9" s="21"/>
      <c r="L9" s="19">
        <v>0.5455</v>
      </c>
      <c r="M9" s="19">
        <v>0.2778</v>
      </c>
      <c r="N9" s="19">
        <v>0.7391</v>
      </c>
      <c r="O9" s="19">
        <v>0.5833</v>
      </c>
      <c r="P9" s="19">
        <v>0.8261</v>
      </c>
      <c r="Q9" s="19">
        <v>0.8696</v>
      </c>
      <c r="R9" s="19">
        <v>0.8696</v>
      </c>
      <c r="S9" s="19">
        <v>0.6087</v>
      </c>
      <c r="T9" s="19">
        <v>0.9565</v>
      </c>
      <c r="U9" s="19">
        <v>1.0</v>
      </c>
      <c r="V9" s="23"/>
      <c r="W9" s="23"/>
      <c r="X9" s="23"/>
      <c r="Y9" s="23"/>
      <c r="Z9" s="23"/>
      <c r="AA9" s="12"/>
      <c r="AB9" s="4"/>
      <c r="AC9" s="4"/>
      <c r="AD9" s="4"/>
      <c r="AE9" s="4"/>
    </row>
    <row r="10">
      <c r="A10" s="17" t="s">
        <v>30</v>
      </c>
      <c r="B10" s="17" t="s">
        <v>31</v>
      </c>
      <c r="C10" s="17">
        <v>4.0</v>
      </c>
      <c r="D10" s="17">
        <v>1.5115526002E10</v>
      </c>
      <c r="E10" s="23"/>
      <c r="F10" s="18" t="s">
        <v>35</v>
      </c>
      <c r="G10" s="19" t="str">
        <f t="shared" si="1"/>
        <v>OK</v>
      </c>
      <c r="H10" s="20">
        <f t="shared" si="2"/>
        <v>9</v>
      </c>
      <c r="I10" s="21">
        <f t="shared" si="3"/>
        <v>267</v>
      </c>
      <c r="J10" s="21">
        <f t="shared" si="4"/>
        <v>0</v>
      </c>
      <c r="K10" s="21"/>
      <c r="L10" s="19">
        <v>1.0</v>
      </c>
      <c r="M10" s="19">
        <v>1.0</v>
      </c>
      <c r="N10" s="19">
        <v>0.8696</v>
      </c>
      <c r="O10" s="19">
        <v>0.7083</v>
      </c>
      <c r="P10" s="19">
        <v>0.9565</v>
      </c>
      <c r="Q10" s="19">
        <v>1.0</v>
      </c>
      <c r="R10" s="19">
        <v>0.8696</v>
      </c>
      <c r="S10" s="19">
        <v>0.6522</v>
      </c>
      <c r="T10" s="19">
        <v>0.9565</v>
      </c>
      <c r="U10" s="19">
        <v>0.8947</v>
      </c>
      <c r="V10" s="23"/>
      <c r="W10" s="23"/>
      <c r="X10" s="23"/>
      <c r="Y10" s="23"/>
      <c r="Z10" s="23"/>
      <c r="AA10" s="12"/>
      <c r="AB10" s="4"/>
      <c r="AC10" s="4"/>
      <c r="AD10" s="4"/>
      <c r="AE10" s="4"/>
    </row>
    <row r="11">
      <c r="A11" s="17" t="s">
        <v>30</v>
      </c>
      <c r="B11" s="17" t="s">
        <v>31</v>
      </c>
      <c r="C11" s="17">
        <v>5.0</v>
      </c>
      <c r="D11" s="17">
        <v>1.5115526006E10</v>
      </c>
      <c r="E11" s="23"/>
      <c r="F11" s="18" t="s">
        <v>36</v>
      </c>
      <c r="G11" s="19" t="str">
        <f t="shared" si="1"/>
        <v>Pending</v>
      </c>
      <c r="H11" s="20">
        <f t="shared" si="2"/>
        <v>-17</v>
      </c>
      <c r="I11" s="21">
        <f t="shared" si="3"/>
        <v>190</v>
      </c>
      <c r="J11" s="21">
        <f t="shared" si="4"/>
        <v>50</v>
      </c>
      <c r="K11" s="21"/>
      <c r="L11" s="19">
        <v>0.0</v>
      </c>
      <c r="M11" s="19">
        <v>0.0</v>
      </c>
      <c r="N11" s="19">
        <v>0.9444</v>
      </c>
      <c r="O11" s="19">
        <v>0.7917</v>
      </c>
      <c r="P11" s="19">
        <v>0.6957</v>
      </c>
      <c r="Q11" s="19">
        <v>0.913</v>
      </c>
      <c r="R11" s="19">
        <v>0.7826</v>
      </c>
      <c r="S11" s="19">
        <v>0.7826</v>
      </c>
      <c r="T11" s="19">
        <v>0.7826</v>
      </c>
      <c r="U11" s="19">
        <v>0.6316</v>
      </c>
      <c r="V11" s="23"/>
      <c r="W11" s="23"/>
      <c r="X11" s="23"/>
      <c r="Y11" s="23"/>
      <c r="Z11" s="23"/>
      <c r="AA11" s="12"/>
      <c r="AB11" s="4"/>
      <c r="AC11" s="4"/>
      <c r="AD11" s="4"/>
      <c r="AE11" s="4"/>
    </row>
    <row r="12">
      <c r="A12" s="17" t="s">
        <v>30</v>
      </c>
      <c r="B12" s="17" t="s">
        <v>31</v>
      </c>
      <c r="C12" s="17">
        <v>6.0</v>
      </c>
      <c r="D12" s="17">
        <v>1.5115526007E10</v>
      </c>
      <c r="E12" s="23"/>
      <c r="F12" s="18" t="s">
        <v>37</v>
      </c>
      <c r="G12" s="19" t="str">
        <f t="shared" si="1"/>
        <v>Pending</v>
      </c>
      <c r="H12" s="20">
        <f t="shared" si="2"/>
        <v>-1</v>
      </c>
      <c r="I12" s="21">
        <f t="shared" si="3"/>
        <v>237</v>
      </c>
      <c r="J12" s="21">
        <f t="shared" si="4"/>
        <v>3</v>
      </c>
      <c r="K12" s="21"/>
      <c r="L12" s="19">
        <v>0.0</v>
      </c>
      <c r="M12" s="19">
        <v>0.0</v>
      </c>
      <c r="N12" s="19">
        <v>1.0</v>
      </c>
      <c r="O12" s="19">
        <v>1.0</v>
      </c>
      <c r="P12" s="19">
        <v>1.0</v>
      </c>
      <c r="Q12" s="19">
        <v>1.0</v>
      </c>
      <c r="R12" s="19">
        <v>1.0</v>
      </c>
      <c r="S12" s="19">
        <v>0.9565</v>
      </c>
      <c r="T12" s="19">
        <v>1.0</v>
      </c>
      <c r="U12" s="19">
        <v>0.9474</v>
      </c>
      <c r="V12" s="23"/>
      <c r="W12" s="23"/>
      <c r="X12" s="23"/>
      <c r="Y12" s="23"/>
      <c r="Z12" s="23"/>
      <c r="AA12" s="12"/>
      <c r="AB12" s="4"/>
      <c r="AC12" s="4"/>
      <c r="AD12" s="4"/>
      <c r="AE12" s="4"/>
    </row>
    <row r="13">
      <c r="A13" s="17" t="s">
        <v>30</v>
      </c>
      <c r="B13" s="17" t="s">
        <v>31</v>
      </c>
      <c r="C13" s="17">
        <v>7.0</v>
      </c>
      <c r="D13" s="17">
        <v>1.5115526008E10</v>
      </c>
      <c r="E13" s="23"/>
      <c r="F13" s="18" t="s">
        <v>38</v>
      </c>
      <c r="G13" s="19" t="str">
        <f t="shared" si="1"/>
        <v>Pending</v>
      </c>
      <c r="H13" s="20">
        <f t="shared" si="2"/>
        <v>-13</v>
      </c>
      <c r="I13" s="21">
        <f t="shared" si="3"/>
        <v>200</v>
      </c>
      <c r="J13" s="21">
        <f t="shared" si="4"/>
        <v>40</v>
      </c>
      <c r="K13" s="21"/>
      <c r="L13" s="19">
        <v>0.0</v>
      </c>
      <c r="M13" s="19">
        <v>0.0</v>
      </c>
      <c r="N13" s="19">
        <v>0.2857</v>
      </c>
      <c r="O13" s="19">
        <v>1.0</v>
      </c>
      <c r="P13" s="19">
        <v>0.8696</v>
      </c>
      <c r="Q13" s="19">
        <v>0.7826</v>
      </c>
      <c r="R13" s="19">
        <v>0.913</v>
      </c>
      <c r="S13" s="19">
        <v>0.913</v>
      </c>
      <c r="T13" s="19">
        <v>1.0</v>
      </c>
      <c r="U13" s="19">
        <v>0.8947</v>
      </c>
      <c r="V13" s="23"/>
      <c r="W13" s="23"/>
      <c r="X13" s="23"/>
      <c r="Y13" s="23"/>
      <c r="Z13" s="23"/>
      <c r="AA13" s="12"/>
      <c r="AB13" s="4"/>
      <c r="AC13" s="4"/>
      <c r="AD13" s="4"/>
      <c r="AE13" s="4"/>
    </row>
    <row r="14">
      <c r="A14" s="17" t="s">
        <v>30</v>
      </c>
      <c r="B14" s="17" t="s">
        <v>31</v>
      </c>
      <c r="C14" s="17">
        <v>8.0</v>
      </c>
      <c r="D14" s="17">
        <v>1.5115526014E10</v>
      </c>
      <c r="E14" s="23"/>
      <c r="F14" s="18" t="s">
        <v>39</v>
      </c>
      <c r="G14" s="19" t="str">
        <f t="shared" si="1"/>
        <v>Pending</v>
      </c>
      <c r="H14" s="20">
        <f t="shared" si="2"/>
        <v>-23</v>
      </c>
      <c r="I14" s="21">
        <f t="shared" si="3"/>
        <v>171</v>
      </c>
      <c r="J14" s="21">
        <f t="shared" si="4"/>
        <v>69</v>
      </c>
      <c r="K14" s="21"/>
      <c r="L14" s="19">
        <v>0.0</v>
      </c>
      <c r="M14" s="19">
        <v>0.0</v>
      </c>
      <c r="N14" s="19">
        <v>0.0</v>
      </c>
      <c r="O14" s="19">
        <v>0.0</v>
      </c>
      <c r="P14" s="19">
        <v>1.0</v>
      </c>
      <c r="Q14" s="19">
        <v>1.0</v>
      </c>
      <c r="R14" s="19">
        <v>0.9565</v>
      </c>
      <c r="S14" s="19">
        <v>0.9565</v>
      </c>
      <c r="T14" s="19">
        <v>1.0</v>
      </c>
      <c r="U14" s="19">
        <v>0.7895</v>
      </c>
      <c r="V14" s="23"/>
      <c r="W14" s="23"/>
      <c r="X14" s="23"/>
      <c r="Y14" s="23"/>
      <c r="Z14" s="23"/>
      <c r="AA14" s="12"/>
      <c r="AB14" s="4"/>
      <c r="AC14" s="4"/>
      <c r="AD14" s="4"/>
      <c r="AE14" s="4"/>
    </row>
    <row r="15">
      <c r="A15" s="17" t="s">
        <v>30</v>
      </c>
      <c r="B15" s="17" t="s">
        <v>31</v>
      </c>
      <c r="C15" s="17">
        <v>9.0</v>
      </c>
      <c r="D15" s="17">
        <v>1.5115526016E10</v>
      </c>
      <c r="E15" s="23"/>
      <c r="F15" s="18" t="s">
        <v>40</v>
      </c>
      <c r="G15" s="19" t="str">
        <f t="shared" si="1"/>
        <v>Pending</v>
      </c>
      <c r="H15" s="20">
        <f t="shared" si="2"/>
        <v>-27</v>
      </c>
      <c r="I15" s="21">
        <f t="shared" si="3"/>
        <v>158</v>
      </c>
      <c r="J15" s="21">
        <f t="shared" si="4"/>
        <v>82</v>
      </c>
      <c r="K15" s="21"/>
      <c r="L15" s="19">
        <v>0.0</v>
      </c>
      <c r="M15" s="19">
        <v>0.0</v>
      </c>
      <c r="N15" s="19">
        <v>0.0</v>
      </c>
      <c r="O15" s="19">
        <v>0.0</v>
      </c>
      <c r="P15" s="19">
        <v>1.0</v>
      </c>
      <c r="Q15" s="19">
        <v>0.8261</v>
      </c>
      <c r="R15" s="19">
        <v>0.9565</v>
      </c>
      <c r="S15" s="19">
        <v>0.7391</v>
      </c>
      <c r="T15" s="19">
        <v>1.0</v>
      </c>
      <c r="U15" s="19">
        <v>0.7368</v>
      </c>
      <c r="V15" s="23"/>
      <c r="W15" s="23"/>
      <c r="X15" s="23"/>
      <c r="Y15" s="23"/>
      <c r="Z15" s="23"/>
      <c r="AA15" s="12"/>
      <c r="AB15" s="4"/>
      <c r="AC15" s="4"/>
      <c r="AD15" s="4"/>
      <c r="AE15" s="4"/>
    </row>
    <row r="16">
      <c r="A16" s="17" t="s">
        <v>30</v>
      </c>
      <c r="B16" s="17" t="s">
        <v>31</v>
      </c>
      <c r="C16" s="17">
        <v>10.0</v>
      </c>
      <c r="D16" s="17">
        <v>1.511552602E10</v>
      </c>
      <c r="E16" s="23"/>
      <c r="F16" s="18" t="s">
        <v>41</v>
      </c>
      <c r="G16" s="19" t="str">
        <f t="shared" si="1"/>
        <v>Pending</v>
      </c>
      <c r="H16" s="20">
        <f t="shared" si="2"/>
        <v>-71</v>
      </c>
      <c r="I16" s="21">
        <f t="shared" si="3"/>
        <v>28</v>
      </c>
      <c r="J16" s="21">
        <f t="shared" si="4"/>
        <v>212</v>
      </c>
      <c r="K16" s="21"/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0.3333</v>
      </c>
      <c r="R16" s="19">
        <v>0.1304</v>
      </c>
      <c r="S16" s="19">
        <v>0.087</v>
      </c>
      <c r="T16" s="19">
        <v>0.2609</v>
      </c>
      <c r="U16" s="19">
        <v>0.1053</v>
      </c>
      <c r="V16" s="23"/>
      <c r="W16" s="23"/>
      <c r="X16" s="23"/>
      <c r="Y16" s="23"/>
      <c r="Z16" s="23"/>
      <c r="AA16" s="12"/>
      <c r="AB16" s="4"/>
      <c r="AC16" s="4"/>
      <c r="AD16" s="4"/>
      <c r="AE16" s="4"/>
    </row>
    <row r="17">
      <c r="A17" s="17" t="s">
        <v>30</v>
      </c>
      <c r="B17" s="17" t="s">
        <v>31</v>
      </c>
      <c r="C17" s="17">
        <v>11.0</v>
      </c>
      <c r="D17" s="17">
        <v>1.5115526028E10</v>
      </c>
      <c r="E17" s="23"/>
      <c r="F17" s="18" t="s">
        <v>42</v>
      </c>
      <c r="G17" s="19" t="str">
        <f t="shared" si="1"/>
        <v>Pending</v>
      </c>
      <c r="H17" s="20">
        <f t="shared" si="2"/>
        <v>-70</v>
      </c>
      <c r="I17" s="21">
        <f t="shared" si="3"/>
        <v>30</v>
      </c>
      <c r="J17" s="21">
        <f t="shared" si="4"/>
        <v>210</v>
      </c>
      <c r="K17" s="21"/>
      <c r="L17" s="19">
        <v>0.0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19">
        <v>0.3571</v>
      </c>
      <c r="S17" s="19">
        <v>0.2609</v>
      </c>
      <c r="T17" s="19">
        <v>0.2174</v>
      </c>
      <c r="U17" s="19">
        <v>0.1579</v>
      </c>
      <c r="V17" s="23"/>
      <c r="W17" s="23"/>
      <c r="X17" s="23"/>
      <c r="Y17" s="23"/>
      <c r="Z17" s="23"/>
      <c r="AA17" s="12"/>
      <c r="AB17" s="4"/>
      <c r="AC17" s="4"/>
      <c r="AD17" s="4"/>
      <c r="AE17" s="4"/>
    </row>
    <row r="18">
      <c r="A18" s="17" t="s">
        <v>30</v>
      </c>
      <c r="B18" s="17" t="s">
        <v>31</v>
      </c>
      <c r="C18" s="17">
        <v>12.0</v>
      </c>
      <c r="D18" s="17">
        <v>1.511552603E10</v>
      </c>
      <c r="E18" s="23"/>
      <c r="F18" s="18" t="s">
        <v>43</v>
      </c>
      <c r="G18" s="19" t="str">
        <f t="shared" si="1"/>
        <v>Pending</v>
      </c>
      <c r="H18" s="20">
        <f t="shared" si="2"/>
        <v>-44</v>
      </c>
      <c r="I18" s="21">
        <f t="shared" si="3"/>
        <v>109</v>
      </c>
      <c r="J18" s="21">
        <f t="shared" si="4"/>
        <v>131</v>
      </c>
      <c r="K18" s="21"/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0.9091</v>
      </c>
      <c r="S18" s="19">
        <v>0.913</v>
      </c>
      <c r="T18" s="19">
        <v>0.8261</v>
      </c>
      <c r="U18" s="19">
        <v>1.0</v>
      </c>
      <c r="V18" s="23"/>
      <c r="W18" s="23"/>
      <c r="X18" s="23"/>
      <c r="Y18" s="23"/>
      <c r="Z18" s="23"/>
      <c r="AA18" s="12"/>
      <c r="AB18" s="4"/>
      <c r="AC18" s="4"/>
      <c r="AD18" s="4"/>
      <c r="AE18" s="4"/>
    </row>
    <row r="19">
      <c r="A19" s="17"/>
      <c r="B19" s="17"/>
      <c r="C19" s="17"/>
      <c r="D19" s="17"/>
      <c r="E19" s="23"/>
      <c r="F19" s="18">
        <f>COUNTA(F7:F18)</f>
        <v>12</v>
      </c>
      <c r="G19" s="19" t="str">
        <f t="shared" si="1"/>
        <v>Pending</v>
      </c>
      <c r="H19" s="20">
        <f t="shared" si="2"/>
        <v>-20</v>
      </c>
      <c r="I19" s="21">
        <f t="shared" si="3"/>
        <v>180</v>
      </c>
      <c r="J19" s="21">
        <f t="shared" si="4"/>
        <v>60</v>
      </c>
      <c r="K19" s="21"/>
      <c r="L19" s="19">
        <f t="shared" ref="L19:S19" si="5">SUM(L7:L18)/$F$19</f>
        <v>0.2613666667</v>
      </c>
      <c r="M19" s="19">
        <f t="shared" si="5"/>
        <v>0.2083333333</v>
      </c>
      <c r="N19" s="19">
        <f t="shared" si="5"/>
        <v>0.4539583333</v>
      </c>
      <c r="O19" s="19">
        <f t="shared" si="5"/>
        <v>0.4756916667</v>
      </c>
      <c r="P19" s="19">
        <f t="shared" si="5"/>
        <v>0.6702916667</v>
      </c>
      <c r="Q19" s="19">
        <f t="shared" si="5"/>
        <v>0.7125583333</v>
      </c>
      <c r="R19" s="19">
        <f t="shared" si="5"/>
        <v>0.779425</v>
      </c>
      <c r="S19" s="19">
        <f t="shared" si="5"/>
        <v>0.7173833333</v>
      </c>
      <c r="T19" s="19">
        <v>0.9444</v>
      </c>
      <c r="U19" s="19">
        <f t="shared" ref="U19:Z19" si="6">SUM(U7:U18)/$F$19</f>
        <v>0.7631583333</v>
      </c>
      <c r="V19" s="19">
        <f t="shared" si="6"/>
        <v>0</v>
      </c>
      <c r="W19" s="19">
        <f t="shared" si="6"/>
        <v>0</v>
      </c>
      <c r="X19" s="19">
        <f t="shared" si="6"/>
        <v>0</v>
      </c>
      <c r="Y19" s="19">
        <f t="shared" si="6"/>
        <v>0</v>
      </c>
      <c r="Z19" s="19">
        <f t="shared" si="6"/>
        <v>0</v>
      </c>
      <c r="AA19" s="12"/>
      <c r="AB19" s="4"/>
      <c r="AC19" s="4"/>
      <c r="AD19" s="4"/>
      <c r="AE19" s="4"/>
    </row>
    <row r="20">
      <c r="A20" s="24" t="s">
        <v>44</v>
      </c>
      <c r="B20" s="25"/>
      <c r="C20" s="25"/>
      <c r="D20" s="25"/>
      <c r="E20" s="25"/>
      <c r="F20" s="26"/>
      <c r="G20" s="19"/>
      <c r="H20" s="20"/>
      <c r="I20" s="21"/>
      <c r="J20" s="21"/>
      <c r="K20" s="21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12"/>
      <c r="AB20" s="4"/>
      <c r="AC20" s="4"/>
      <c r="AD20" s="4"/>
      <c r="AE20" s="4"/>
    </row>
    <row r="21" ht="47.25" customHeight="1">
      <c r="A21" s="9" t="s">
        <v>4</v>
      </c>
      <c r="B21" s="9" t="s">
        <v>5</v>
      </c>
      <c r="C21" s="9" t="s">
        <v>6</v>
      </c>
      <c r="D21" s="9" t="s">
        <v>7</v>
      </c>
      <c r="E21" s="9" t="s">
        <v>8</v>
      </c>
      <c r="F21" s="9" t="s">
        <v>9</v>
      </c>
      <c r="G21" s="14" t="s">
        <v>10</v>
      </c>
      <c r="H21" s="15" t="s">
        <v>11</v>
      </c>
      <c r="I21" s="15" t="s">
        <v>12</v>
      </c>
      <c r="J21" s="15" t="s">
        <v>13</v>
      </c>
      <c r="K21" s="15" t="s">
        <v>14</v>
      </c>
      <c r="L21" s="16" t="s">
        <v>15</v>
      </c>
      <c r="M21" s="16" t="s">
        <v>16</v>
      </c>
      <c r="N21" s="16" t="s">
        <v>17</v>
      </c>
      <c r="O21" s="16" t="s">
        <v>18</v>
      </c>
      <c r="P21" s="16" t="s">
        <v>19</v>
      </c>
      <c r="Q21" s="16" t="s">
        <v>20</v>
      </c>
      <c r="R21" s="16" t="s">
        <v>21</v>
      </c>
      <c r="S21" s="16" t="s">
        <v>22</v>
      </c>
      <c r="T21" s="16" t="s">
        <v>23</v>
      </c>
      <c r="U21" s="16" t="s">
        <v>24</v>
      </c>
      <c r="V21" s="16" t="s">
        <v>25</v>
      </c>
      <c r="W21" s="16" t="s">
        <v>26</v>
      </c>
      <c r="X21" s="16" t="s">
        <v>27</v>
      </c>
      <c r="Y21" s="16" t="s">
        <v>28</v>
      </c>
      <c r="Z21" s="16" t="s">
        <v>29</v>
      </c>
      <c r="AA21" s="12"/>
      <c r="AB21" s="4"/>
      <c r="AC21" s="4"/>
      <c r="AD21" s="4"/>
      <c r="AE21" s="4"/>
    </row>
    <row r="22">
      <c r="A22" s="17" t="s">
        <v>30</v>
      </c>
      <c r="B22" s="17" t="s">
        <v>31</v>
      </c>
      <c r="C22" s="17">
        <v>1.0</v>
      </c>
      <c r="D22" s="17">
        <v>1.5115523002E10</v>
      </c>
      <c r="E22" s="17">
        <v>2.31003009E8</v>
      </c>
      <c r="F22" s="18" t="s">
        <v>45</v>
      </c>
      <c r="G22" s="19" t="str">
        <f t="shared" ref="G22:G33" si="7">IF(H22&gt;=0,"OK",IF(K22&gt;=J22,"Completed","Pending"))</f>
        <v>Pending</v>
      </c>
      <c r="H22" s="20">
        <f t="shared" ref="H22:H33" si="8">round((((((L22*100)*$L$5)+((M22*100)*$M$5)+((N22*100)*$N$5)+((O22*100)*$O$5)+((P22*100)*$P$5)+((Q22*100)*$Q$5)+((R22*100)*$R$5)+((S22*100)*$S$5)+((T22*100)*$T$5)+((U22*100)*$U$5)+((V22*100)*$V$5)+((W22*100)*$W$5)+((X22*100)*$X$5)+((Y22*100)*$Y$5)+((Z22*100)*$Z$5)++((W22*100)*$W$5)+((AA22*100)*$AA$5))/($L$5+$M$5+$N$5+$O$5+$P$5+$Q$5+$R$5+$S$5+$T$5+$V$5+$U$5+$W$5+$X$5+$Y$5+$Z$5+$AA$5))-80),0)</f>
        <v>-72</v>
      </c>
      <c r="I22" s="21">
        <f t="shared" ref="I22:I33" si="9">round(30*((L22*$L$5)+(M22*$M$5)+(N22*$N$5)+(O22*$O$5)+(P22*$P$5)+(Q22*$Q$5)+(R22*$R$5)+(S22*$S$5)+(T22*$T$5)+(U22*$U$5)+(V22*$V$5)+(W22*$W$5)+(X22*$X$5)+(Y22*$Y$5)+(Z22*$Z$5)+(AA22*$AA$5)),0)</f>
        <v>25</v>
      </c>
      <c r="J22" s="21">
        <f t="shared" ref="J22:J33" si="10">if(I22&lt;(24*($L$5+$M$5+$N$5+$O$5+$P$5+$Q$5+$R$5+$S$5+$T$5+$V$5+$U$5+$W$5+$X$5+$Y$5+$Z$5+$AA$5)),abs(I22-(24*($L$5+$M$5+$N$5+$O$5+$P$5+$Q$5+$R$5+$S$5+$T$5+$V$5+$U$5+$W$5+$X$5+$Y$5+$Z$5+$AA$5))),0)</f>
        <v>215</v>
      </c>
      <c r="K22" s="21"/>
      <c r="L22" s="19">
        <v>0.0</v>
      </c>
      <c r="M22" s="19">
        <v>0.0</v>
      </c>
      <c r="N22" s="19">
        <v>0.0455</v>
      </c>
      <c r="O22" s="19">
        <v>0.0</v>
      </c>
      <c r="P22" s="19">
        <v>0.0909</v>
      </c>
      <c r="Q22" s="19">
        <v>0.0</v>
      </c>
      <c r="R22" s="19">
        <v>0.4091</v>
      </c>
      <c r="S22" s="19">
        <v>0.0</v>
      </c>
      <c r="T22" s="19">
        <v>0.1364</v>
      </c>
      <c r="U22" s="19">
        <v>0.1364</v>
      </c>
      <c r="V22" s="23"/>
      <c r="W22" s="23"/>
      <c r="X22" s="23"/>
      <c r="Y22" s="23"/>
      <c r="Z22" s="23"/>
      <c r="AA22" s="12"/>
      <c r="AB22" s="4"/>
      <c r="AC22" s="4"/>
      <c r="AD22" s="4"/>
      <c r="AE22" s="4"/>
    </row>
    <row r="23" ht="15.75" customHeight="1">
      <c r="A23" s="17" t="s">
        <v>30</v>
      </c>
      <c r="B23" s="17" t="s">
        <v>31</v>
      </c>
      <c r="C23" s="17">
        <v>2.0</v>
      </c>
      <c r="D23" s="17">
        <v>1.5115524017E10</v>
      </c>
      <c r="E23" s="17">
        <v>2.40003002E8</v>
      </c>
      <c r="F23" s="18" t="s">
        <v>46</v>
      </c>
      <c r="G23" s="19" t="str">
        <f t="shared" si="7"/>
        <v>Pending</v>
      </c>
      <c r="H23" s="20">
        <f t="shared" si="8"/>
        <v>-12</v>
      </c>
      <c r="I23" s="21">
        <f t="shared" si="9"/>
        <v>205</v>
      </c>
      <c r="J23" s="21">
        <f t="shared" si="10"/>
        <v>35</v>
      </c>
      <c r="K23" s="21"/>
      <c r="L23" s="19">
        <v>0.5909</v>
      </c>
      <c r="M23" s="19">
        <v>0.0</v>
      </c>
      <c r="N23" s="19">
        <v>0.9091</v>
      </c>
      <c r="O23" s="19">
        <v>1.0</v>
      </c>
      <c r="P23" s="19">
        <v>0.6818</v>
      </c>
      <c r="Q23" s="19">
        <v>1.0</v>
      </c>
      <c r="R23" s="19">
        <v>0.7727</v>
      </c>
      <c r="S23" s="19">
        <v>0.9545</v>
      </c>
      <c r="T23" s="19">
        <v>0.0909</v>
      </c>
      <c r="U23" s="19">
        <v>0.8182</v>
      </c>
      <c r="V23" s="23"/>
      <c r="W23" s="23"/>
      <c r="X23" s="23"/>
      <c r="Y23" s="23"/>
      <c r="Z23" s="23"/>
      <c r="AA23" s="12"/>
      <c r="AB23" s="4"/>
      <c r="AC23" s="4"/>
      <c r="AD23" s="4"/>
      <c r="AE23" s="4"/>
    </row>
    <row r="24" ht="15.75" customHeight="1">
      <c r="A24" s="17" t="s">
        <v>30</v>
      </c>
      <c r="B24" s="17" t="s">
        <v>31</v>
      </c>
      <c r="C24" s="17">
        <v>4.0</v>
      </c>
      <c r="D24" s="17">
        <v>1.5115524018E10</v>
      </c>
      <c r="E24" s="17">
        <v>2.40003005E8</v>
      </c>
      <c r="F24" s="18" t="s">
        <v>47</v>
      </c>
      <c r="G24" s="19" t="str">
        <f t="shared" si="7"/>
        <v>Pending</v>
      </c>
      <c r="H24" s="20">
        <f t="shared" si="8"/>
        <v>-31</v>
      </c>
      <c r="I24" s="21">
        <f t="shared" si="9"/>
        <v>148</v>
      </c>
      <c r="J24" s="21">
        <f t="shared" si="10"/>
        <v>92</v>
      </c>
      <c r="K24" s="21"/>
      <c r="L24" s="19">
        <v>0.0</v>
      </c>
      <c r="M24" s="19">
        <v>0.4444</v>
      </c>
      <c r="N24" s="19">
        <v>0.8182</v>
      </c>
      <c r="O24" s="19">
        <v>0.4783</v>
      </c>
      <c r="P24" s="19">
        <v>1.0</v>
      </c>
      <c r="Q24" s="19">
        <v>0.8696</v>
      </c>
      <c r="R24" s="19">
        <v>0.5909</v>
      </c>
      <c r="S24" s="19">
        <v>0.0909</v>
      </c>
      <c r="T24" s="19">
        <v>0.0</v>
      </c>
      <c r="U24" s="19">
        <v>0.6364</v>
      </c>
      <c r="V24" s="23"/>
      <c r="W24" s="23"/>
      <c r="X24" s="23"/>
      <c r="Y24" s="23"/>
      <c r="Z24" s="23"/>
      <c r="AA24" s="12"/>
      <c r="AB24" s="4"/>
      <c r="AC24" s="4"/>
      <c r="AD24" s="4"/>
      <c r="AE24" s="4"/>
    </row>
    <row r="25" ht="15.75" customHeight="1">
      <c r="A25" s="17" t="s">
        <v>30</v>
      </c>
      <c r="B25" s="17" t="s">
        <v>31</v>
      </c>
      <c r="C25" s="17">
        <v>5.0</v>
      </c>
      <c r="D25" s="17">
        <v>1.5115525013E10</v>
      </c>
      <c r="E25" s="17">
        <v>2.51003001E8</v>
      </c>
      <c r="F25" s="18" t="s">
        <v>48</v>
      </c>
      <c r="G25" s="19" t="str">
        <f t="shared" si="7"/>
        <v>Pending</v>
      </c>
      <c r="H25" s="20">
        <f t="shared" si="8"/>
        <v>-78</v>
      </c>
      <c r="I25" s="21">
        <f t="shared" si="9"/>
        <v>5</v>
      </c>
      <c r="J25" s="21">
        <f t="shared" si="10"/>
        <v>235</v>
      </c>
      <c r="K25" s="21"/>
      <c r="L25" s="19">
        <v>0.0</v>
      </c>
      <c r="M25" s="19">
        <v>0.0</v>
      </c>
      <c r="N25" s="19">
        <v>0.0455</v>
      </c>
      <c r="O25" s="19">
        <v>0.087</v>
      </c>
      <c r="P25" s="19">
        <v>0.0</v>
      </c>
      <c r="Q25" s="19">
        <v>0.0</v>
      </c>
      <c r="R25" s="19">
        <v>0.0455</v>
      </c>
      <c r="S25" s="19">
        <v>0.0</v>
      </c>
      <c r="T25" s="19">
        <v>0.0</v>
      </c>
      <c r="U25" s="19">
        <v>0.0</v>
      </c>
      <c r="V25" s="23"/>
      <c r="W25" s="23"/>
      <c r="X25" s="23"/>
      <c r="Y25" s="23"/>
      <c r="Z25" s="23"/>
      <c r="AA25" s="12"/>
      <c r="AB25" s="4"/>
      <c r="AC25" s="4"/>
      <c r="AD25" s="4"/>
      <c r="AE25" s="4"/>
    </row>
    <row r="26" ht="15.75" customHeight="1">
      <c r="A26" s="17" t="s">
        <v>30</v>
      </c>
      <c r="B26" s="17" t="s">
        <v>31</v>
      </c>
      <c r="C26" s="17">
        <v>6.0</v>
      </c>
      <c r="D26" s="17">
        <v>1.5115525008E10</v>
      </c>
      <c r="E26" s="17">
        <v>2.51003002E8</v>
      </c>
      <c r="F26" s="18" t="s">
        <v>49</v>
      </c>
      <c r="G26" s="19" t="str">
        <f t="shared" si="7"/>
        <v>Pending</v>
      </c>
      <c r="H26" s="20">
        <f t="shared" si="8"/>
        <v>-6</v>
      </c>
      <c r="I26" s="21">
        <f t="shared" si="9"/>
        <v>221</v>
      </c>
      <c r="J26" s="21">
        <f t="shared" si="10"/>
        <v>19</v>
      </c>
      <c r="K26" s="21"/>
      <c r="L26" s="19">
        <v>0.0</v>
      </c>
      <c r="M26" s="19">
        <v>0.0</v>
      </c>
      <c r="N26" s="19">
        <v>0.5909</v>
      </c>
      <c r="O26" s="19">
        <v>1.0</v>
      </c>
      <c r="P26" s="19">
        <v>1.0</v>
      </c>
      <c r="Q26" s="19">
        <v>1.0</v>
      </c>
      <c r="R26" s="19">
        <v>1.0</v>
      </c>
      <c r="S26" s="19">
        <v>0.7727</v>
      </c>
      <c r="T26" s="19">
        <v>1.0</v>
      </c>
      <c r="U26" s="19">
        <v>1.0</v>
      </c>
      <c r="V26" s="23"/>
      <c r="W26" s="23"/>
      <c r="X26" s="23"/>
      <c r="Y26" s="23"/>
      <c r="Z26" s="23"/>
      <c r="AA26" s="12"/>
      <c r="AB26" s="4"/>
      <c r="AC26" s="4"/>
      <c r="AD26" s="4"/>
      <c r="AE26" s="4"/>
    </row>
    <row r="27" ht="15.75" customHeight="1">
      <c r="A27" s="17" t="s">
        <v>30</v>
      </c>
      <c r="B27" s="17" t="s">
        <v>31</v>
      </c>
      <c r="C27" s="17">
        <v>7.0</v>
      </c>
      <c r="D27" s="17">
        <v>1.5115525007E10</v>
      </c>
      <c r="E27" s="17">
        <v>2.51003004E8</v>
      </c>
      <c r="F27" s="18" t="s">
        <v>50</v>
      </c>
      <c r="G27" s="19" t="str">
        <f t="shared" si="7"/>
        <v>Pending</v>
      </c>
      <c r="H27" s="20">
        <f t="shared" si="8"/>
        <v>-76</v>
      </c>
      <c r="I27" s="21">
        <f t="shared" si="9"/>
        <v>11</v>
      </c>
      <c r="J27" s="21">
        <f t="shared" si="10"/>
        <v>229</v>
      </c>
      <c r="K27" s="21"/>
      <c r="L27" s="19">
        <v>0.0455</v>
      </c>
      <c r="M27" s="19">
        <v>0.0</v>
      </c>
      <c r="N27" s="19">
        <v>0.0455</v>
      </c>
      <c r="O27" s="19">
        <v>0.0</v>
      </c>
      <c r="P27" s="19">
        <v>0.0</v>
      </c>
      <c r="Q27" s="19">
        <v>0.0</v>
      </c>
      <c r="R27" s="19">
        <v>0.2727</v>
      </c>
      <c r="S27" s="19">
        <v>0.0</v>
      </c>
      <c r="T27" s="19">
        <v>0.0</v>
      </c>
      <c r="U27" s="19">
        <v>0.0</v>
      </c>
      <c r="V27" s="23"/>
      <c r="W27" s="23"/>
      <c r="X27" s="23"/>
      <c r="Y27" s="23"/>
      <c r="Z27" s="23"/>
      <c r="AA27" s="12"/>
      <c r="AB27" s="4"/>
      <c r="AC27" s="4"/>
      <c r="AD27" s="4"/>
      <c r="AE27" s="4"/>
    </row>
    <row r="28" ht="15.75" customHeight="1">
      <c r="A28" s="17" t="s">
        <v>30</v>
      </c>
      <c r="B28" s="17" t="s">
        <v>31</v>
      </c>
      <c r="C28" s="17">
        <v>8.0</v>
      </c>
      <c r="D28" s="17">
        <v>1.5115525003E10</v>
      </c>
      <c r="E28" s="17">
        <v>2.51003005E8</v>
      </c>
      <c r="F28" s="18" t="s">
        <v>51</v>
      </c>
      <c r="G28" s="19" t="str">
        <f t="shared" si="7"/>
        <v>Pending</v>
      </c>
      <c r="H28" s="20">
        <f t="shared" si="8"/>
        <v>-21</v>
      </c>
      <c r="I28" s="21">
        <f t="shared" si="9"/>
        <v>177</v>
      </c>
      <c r="J28" s="21">
        <f t="shared" si="10"/>
        <v>63</v>
      </c>
      <c r="K28" s="21"/>
      <c r="L28" s="19">
        <v>0.9545</v>
      </c>
      <c r="M28" s="19">
        <v>1.0</v>
      </c>
      <c r="N28" s="19">
        <v>1.0</v>
      </c>
      <c r="O28" s="19">
        <v>0.5652</v>
      </c>
      <c r="P28" s="19">
        <v>1.0</v>
      </c>
      <c r="Q28" s="19">
        <v>0.0</v>
      </c>
      <c r="R28" s="19">
        <v>0.6818</v>
      </c>
      <c r="S28" s="19">
        <v>0.6364</v>
      </c>
      <c r="T28" s="19">
        <v>0.0455</v>
      </c>
      <c r="U28" s="19">
        <v>0.0</v>
      </c>
      <c r="V28" s="23"/>
      <c r="W28" s="23"/>
      <c r="X28" s="23"/>
      <c r="Y28" s="23"/>
      <c r="Z28" s="23"/>
      <c r="AA28" s="12"/>
      <c r="AB28" s="4"/>
      <c r="AC28" s="4"/>
      <c r="AD28" s="4"/>
      <c r="AE28" s="4"/>
    </row>
    <row r="29" ht="15.75" customHeight="1">
      <c r="A29" s="17" t="s">
        <v>30</v>
      </c>
      <c r="B29" s="17" t="s">
        <v>31</v>
      </c>
      <c r="C29" s="17">
        <v>9.0</v>
      </c>
      <c r="D29" s="17">
        <v>1.5115525014E10</v>
      </c>
      <c r="E29" s="17">
        <v>2.51003006E8</v>
      </c>
      <c r="F29" s="18" t="s">
        <v>52</v>
      </c>
      <c r="G29" s="19" t="str">
        <f t="shared" si="7"/>
        <v>Pending</v>
      </c>
      <c r="H29" s="20">
        <f t="shared" si="8"/>
        <v>-65</v>
      </c>
      <c r="I29" s="21">
        <f t="shared" si="9"/>
        <v>46</v>
      </c>
      <c r="J29" s="21">
        <f t="shared" si="10"/>
        <v>194</v>
      </c>
      <c r="K29" s="21"/>
      <c r="L29" s="19">
        <v>0.0</v>
      </c>
      <c r="M29" s="19">
        <v>0.0</v>
      </c>
      <c r="N29" s="19">
        <v>0.0455</v>
      </c>
      <c r="O29" s="19">
        <v>0.0</v>
      </c>
      <c r="P29" s="19">
        <v>0.0</v>
      </c>
      <c r="Q29" s="19">
        <v>0.0</v>
      </c>
      <c r="R29" s="19">
        <v>0.7727</v>
      </c>
      <c r="S29" s="19">
        <v>0.0909</v>
      </c>
      <c r="T29" s="19">
        <v>0.0</v>
      </c>
      <c r="U29" s="19">
        <v>0.6364</v>
      </c>
      <c r="V29" s="23"/>
      <c r="W29" s="23"/>
      <c r="X29" s="23"/>
      <c r="Y29" s="23"/>
      <c r="Z29" s="23"/>
      <c r="AA29" s="12"/>
      <c r="AB29" s="4"/>
      <c r="AC29" s="4"/>
      <c r="AD29" s="4"/>
      <c r="AE29" s="4"/>
    </row>
    <row r="30" ht="15.75" customHeight="1">
      <c r="A30" s="17" t="s">
        <v>30</v>
      </c>
      <c r="B30" s="17" t="s">
        <v>31</v>
      </c>
      <c r="C30" s="17">
        <v>10.0</v>
      </c>
      <c r="D30" s="17">
        <v>1.5115525002E10</v>
      </c>
      <c r="E30" s="17">
        <v>2.51003007E8</v>
      </c>
      <c r="F30" s="18" t="s">
        <v>53</v>
      </c>
      <c r="G30" s="19" t="str">
        <f t="shared" si="7"/>
        <v>Pending</v>
      </c>
      <c r="H30" s="20">
        <f t="shared" si="8"/>
        <v>-6</v>
      </c>
      <c r="I30" s="21">
        <f t="shared" si="9"/>
        <v>223</v>
      </c>
      <c r="J30" s="21">
        <f t="shared" si="10"/>
        <v>17</v>
      </c>
      <c r="K30" s="21"/>
      <c r="L30" s="19">
        <v>0.0</v>
      </c>
      <c r="M30" s="19">
        <v>1.0</v>
      </c>
      <c r="N30" s="19">
        <v>0.9091</v>
      </c>
      <c r="O30" s="19">
        <v>0.8696</v>
      </c>
      <c r="P30" s="19">
        <v>0.6818</v>
      </c>
      <c r="Q30" s="19">
        <v>0.7391</v>
      </c>
      <c r="R30" s="19">
        <v>0.7273</v>
      </c>
      <c r="S30" s="19">
        <v>0.9545</v>
      </c>
      <c r="T30" s="19">
        <v>0.7273</v>
      </c>
      <c r="U30" s="19">
        <v>0.8182</v>
      </c>
      <c r="V30" s="23"/>
      <c r="W30" s="23"/>
      <c r="X30" s="23"/>
      <c r="Y30" s="23"/>
      <c r="Z30" s="23"/>
      <c r="AA30" s="12"/>
      <c r="AB30" s="4"/>
      <c r="AC30" s="4"/>
      <c r="AD30" s="4"/>
      <c r="AE30" s="4"/>
    </row>
    <row r="31" ht="15.75" customHeight="1">
      <c r="A31" s="17" t="s">
        <v>30</v>
      </c>
      <c r="B31" s="17" t="s">
        <v>31</v>
      </c>
      <c r="C31" s="17">
        <v>11.0</v>
      </c>
      <c r="D31" s="17">
        <v>1.5115525011E10</v>
      </c>
      <c r="E31" s="17">
        <v>2.51003008E8</v>
      </c>
      <c r="F31" s="18" t="s">
        <v>54</v>
      </c>
      <c r="G31" s="19" t="str">
        <f t="shared" si="7"/>
        <v>Pending</v>
      </c>
      <c r="H31" s="20">
        <f t="shared" si="8"/>
        <v>-18</v>
      </c>
      <c r="I31" s="21">
        <f t="shared" si="9"/>
        <v>187</v>
      </c>
      <c r="J31" s="21">
        <f t="shared" si="10"/>
        <v>53</v>
      </c>
      <c r="K31" s="21"/>
      <c r="L31" s="19">
        <v>0.0</v>
      </c>
      <c r="M31" s="19">
        <v>0.6667</v>
      </c>
      <c r="N31" s="19">
        <v>0.9545</v>
      </c>
      <c r="O31" s="19">
        <v>0.6087</v>
      </c>
      <c r="P31" s="19">
        <v>0.2727</v>
      </c>
      <c r="Q31" s="19">
        <v>0.913</v>
      </c>
      <c r="R31" s="19">
        <v>0.6364</v>
      </c>
      <c r="S31" s="19">
        <v>0.2727</v>
      </c>
      <c r="T31" s="19">
        <v>0.9545</v>
      </c>
      <c r="U31" s="19">
        <v>0.9545</v>
      </c>
      <c r="V31" s="23"/>
      <c r="W31" s="23"/>
      <c r="X31" s="23"/>
      <c r="Y31" s="23"/>
      <c r="Z31" s="23"/>
      <c r="AA31" s="12"/>
      <c r="AB31" s="4"/>
      <c r="AC31" s="4"/>
      <c r="AD31" s="4"/>
      <c r="AE31" s="4"/>
    </row>
    <row r="32" ht="15.75" customHeight="1">
      <c r="A32" s="17" t="s">
        <v>30</v>
      </c>
      <c r="B32" s="17" t="s">
        <v>31</v>
      </c>
      <c r="C32" s="17">
        <v>12.0</v>
      </c>
      <c r="D32" s="17">
        <v>1.5115525015E10</v>
      </c>
      <c r="E32" s="17">
        <v>2.51003009E8</v>
      </c>
      <c r="F32" s="18" t="s">
        <v>55</v>
      </c>
      <c r="G32" s="19" t="str">
        <f t="shared" si="7"/>
        <v>OK</v>
      </c>
      <c r="H32" s="20">
        <f t="shared" si="8"/>
        <v>16</v>
      </c>
      <c r="I32" s="21">
        <f t="shared" si="9"/>
        <v>289</v>
      </c>
      <c r="J32" s="21">
        <f t="shared" si="10"/>
        <v>0</v>
      </c>
      <c r="K32" s="21"/>
      <c r="L32" s="19">
        <v>0.8182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0.9545</v>
      </c>
      <c r="T32" s="19">
        <v>0.8636</v>
      </c>
      <c r="U32" s="19">
        <v>1.0</v>
      </c>
      <c r="V32" s="23"/>
      <c r="W32" s="23"/>
      <c r="X32" s="23"/>
      <c r="Y32" s="23"/>
      <c r="Z32" s="23"/>
      <c r="AA32" s="12"/>
      <c r="AB32" s="4"/>
      <c r="AC32" s="4"/>
      <c r="AD32" s="4"/>
      <c r="AE32" s="4"/>
    </row>
    <row r="33" ht="15.75" customHeight="1">
      <c r="A33" s="17"/>
      <c r="B33" s="17"/>
      <c r="C33" s="17"/>
      <c r="D33" s="17"/>
      <c r="E33" s="17"/>
      <c r="F33" s="18">
        <f>counta(F22:F32)</f>
        <v>11</v>
      </c>
      <c r="G33" s="19" t="str">
        <f t="shared" si="7"/>
        <v>Pending</v>
      </c>
      <c r="H33" s="20">
        <f t="shared" si="8"/>
        <v>-33</v>
      </c>
      <c r="I33" s="21">
        <f t="shared" si="9"/>
        <v>140</v>
      </c>
      <c r="J33" s="21">
        <f t="shared" si="10"/>
        <v>100</v>
      </c>
      <c r="K33" s="21"/>
      <c r="L33" s="19">
        <f t="shared" ref="L33:Z33" si="11">SUM(L22:L32)/$F$33</f>
        <v>0.2190090909</v>
      </c>
      <c r="M33" s="19">
        <f t="shared" si="11"/>
        <v>0.3737363636</v>
      </c>
      <c r="N33" s="19">
        <f t="shared" si="11"/>
        <v>0.5785272727</v>
      </c>
      <c r="O33" s="19">
        <f t="shared" si="11"/>
        <v>0.5098909091</v>
      </c>
      <c r="P33" s="19">
        <f t="shared" si="11"/>
        <v>0.5206545455</v>
      </c>
      <c r="Q33" s="19">
        <f t="shared" si="11"/>
        <v>0.5019727273</v>
      </c>
      <c r="R33" s="19">
        <f t="shared" si="11"/>
        <v>0.6281</v>
      </c>
      <c r="S33" s="19">
        <f t="shared" si="11"/>
        <v>0.4297363636</v>
      </c>
      <c r="T33" s="19">
        <f t="shared" si="11"/>
        <v>0.3471090909</v>
      </c>
      <c r="U33" s="19">
        <f t="shared" si="11"/>
        <v>0.5454636364</v>
      </c>
      <c r="V33" s="19">
        <f t="shared" si="11"/>
        <v>0</v>
      </c>
      <c r="W33" s="19">
        <f t="shared" si="11"/>
        <v>0</v>
      </c>
      <c r="X33" s="19">
        <f t="shared" si="11"/>
        <v>0</v>
      </c>
      <c r="Y33" s="19">
        <f t="shared" si="11"/>
        <v>0</v>
      </c>
      <c r="Z33" s="19">
        <f t="shared" si="11"/>
        <v>0</v>
      </c>
      <c r="AA33" s="12"/>
      <c r="AB33" s="4"/>
      <c r="AC33" s="4"/>
      <c r="AD33" s="4"/>
      <c r="AE33" s="4"/>
    </row>
    <row r="34" ht="15.75" customHeight="1">
      <c r="A34" s="24" t="s">
        <v>56</v>
      </c>
      <c r="B34" s="25"/>
      <c r="C34" s="25"/>
      <c r="D34" s="25"/>
      <c r="E34" s="25"/>
      <c r="F34" s="26"/>
      <c r="G34" s="19"/>
      <c r="H34" s="20"/>
      <c r="I34" s="21"/>
      <c r="J34" s="21"/>
      <c r="K34" s="21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12"/>
      <c r="AB34" s="4"/>
      <c r="AC34" s="4"/>
      <c r="AD34" s="4"/>
      <c r="AE34" s="4"/>
    </row>
    <row r="35" ht="15.75" customHeight="1">
      <c r="A35" s="9" t="s">
        <v>4</v>
      </c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14" t="s">
        <v>10</v>
      </c>
      <c r="H35" s="15" t="s">
        <v>11</v>
      </c>
      <c r="I35" s="15" t="s">
        <v>12</v>
      </c>
      <c r="J35" s="15" t="s">
        <v>13</v>
      </c>
      <c r="K35" s="15" t="s">
        <v>14</v>
      </c>
      <c r="L35" s="16" t="s">
        <v>15</v>
      </c>
      <c r="M35" s="16" t="s">
        <v>16</v>
      </c>
      <c r="N35" s="16" t="s">
        <v>17</v>
      </c>
      <c r="O35" s="16" t="s">
        <v>18</v>
      </c>
      <c r="P35" s="16" t="s">
        <v>19</v>
      </c>
      <c r="Q35" s="16" t="s">
        <v>20</v>
      </c>
      <c r="R35" s="16" t="s">
        <v>21</v>
      </c>
      <c r="S35" s="16" t="s">
        <v>22</v>
      </c>
      <c r="T35" s="16" t="s">
        <v>23</v>
      </c>
      <c r="U35" s="16" t="s">
        <v>24</v>
      </c>
      <c r="V35" s="16" t="s">
        <v>25</v>
      </c>
      <c r="W35" s="16" t="s">
        <v>26</v>
      </c>
      <c r="X35" s="16" t="s">
        <v>27</v>
      </c>
      <c r="Y35" s="16" t="s">
        <v>28</v>
      </c>
      <c r="Z35" s="16" t="s">
        <v>29</v>
      </c>
      <c r="AA35" s="12"/>
      <c r="AB35" s="4"/>
      <c r="AC35" s="4"/>
      <c r="AD35" s="4"/>
      <c r="AE35" s="4"/>
    </row>
    <row r="36" ht="15.0" customHeight="1">
      <c r="A36" s="17" t="s">
        <v>30</v>
      </c>
      <c r="B36" s="17" t="s">
        <v>31</v>
      </c>
      <c r="C36" s="17">
        <v>1.0</v>
      </c>
      <c r="D36" s="17">
        <v>1.5115523005E10</v>
      </c>
      <c r="E36" s="17">
        <v>2.30003001E8</v>
      </c>
      <c r="F36" s="18" t="s">
        <v>57</v>
      </c>
      <c r="G36" s="19" t="str">
        <f t="shared" ref="G36:G53" si="12">IF(H36&gt;=0,"OK",IF(K36&gt;=J36,"Completed","Pending"))</f>
        <v>OK</v>
      </c>
      <c r="H36" s="20">
        <f t="shared" ref="H36:H53" si="13">round((((((L36*100)*$L$5)+((M36*100)*$M$5)+((N36*100)*$N$5)+((O36*100)*$O$5)+((P36*100)*$P$5)+((Q36*100)*$Q$5)+((R36*100)*$R$5)+((S36*100)*$S$5)+((T36*100)*$T$5)+((U36*100)*$U$5)+((V36*100)*$V$5)+((W36*100)*$W$5)+((X36*100)*$X$5)+((Y36*100)*$Y$5)+((Z36*100)*$Z$5)++((W36*100)*$W$5)+((AA36*100)*$AA$5))/($L$5+$M$5+$N$5+$O$5+$P$5+$Q$5+$R$5+$S$5+$T$5+$V$5+$U$5+$W$5+$X$5+$Y$5+$Z$5+$AA$5))-80),0)</f>
        <v>4</v>
      </c>
      <c r="I36" s="21">
        <f t="shared" ref="I36:I53" si="14">round(30*((L36*$L$5)+(M36*$M$5)+(N36*$N$5)+(O36*$O$5)+(P36*$P$5)+(Q36*$Q$5)+(R36*$R$5)+(S36*$S$5)+(T36*$T$5)+(U36*$U$5)+(V36*$V$5)+(W36*$W$5)+(X36*$X$5)+(Y36*$Y$5)+(Z36*$Z$5)+(AA36*$AA$5)),0)</f>
        <v>252</v>
      </c>
      <c r="J36" s="21">
        <f t="shared" ref="J36:J53" si="15">if(I36&lt;(24*($L$5+$M$5+$N$5+$O$5+$P$5+$Q$5+$R$5+$S$5+$T$5+$V$5+$U$5+$W$5+$X$5+$Y$5+$Z$5+$AA$5)),abs(I36-(24*($L$5+$M$5+$N$5+$O$5+$P$5+$Q$5+$R$5+$S$5+$T$5+$V$5+$U$5+$W$5+$X$5+$Y$5+$Z$5+$AA$5))),0)</f>
        <v>0</v>
      </c>
      <c r="K36" s="21"/>
      <c r="L36" s="19">
        <v>0.95</v>
      </c>
      <c r="M36" s="19">
        <v>1.0</v>
      </c>
      <c r="N36" s="19">
        <v>0.8571</v>
      </c>
      <c r="O36" s="19">
        <v>0.6364</v>
      </c>
      <c r="P36" s="19">
        <v>0.8095</v>
      </c>
      <c r="Q36" s="19">
        <v>0.6667</v>
      </c>
      <c r="R36" s="19">
        <v>0.9048</v>
      </c>
      <c r="S36" s="19">
        <v>0.7619</v>
      </c>
      <c r="T36" s="19">
        <v>0.9048</v>
      </c>
      <c r="U36" s="19">
        <v>0.9048</v>
      </c>
      <c r="V36" s="23"/>
      <c r="W36" s="23"/>
      <c r="X36" s="23"/>
      <c r="Y36" s="23"/>
      <c r="Z36" s="23"/>
      <c r="AA36" s="12"/>
      <c r="AB36" s="4"/>
      <c r="AC36" s="4"/>
      <c r="AD36" s="4"/>
      <c r="AE36" s="4"/>
    </row>
    <row r="37" ht="15.75" customHeight="1">
      <c r="A37" s="17" t="s">
        <v>30</v>
      </c>
      <c r="B37" s="17" t="s">
        <v>31</v>
      </c>
      <c r="C37" s="17">
        <v>2.0</v>
      </c>
      <c r="D37" s="17">
        <v>1.5115524005E10</v>
      </c>
      <c r="E37" s="17">
        <v>2.41003001E8</v>
      </c>
      <c r="F37" s="18" t="s">
        <v>58</v>
      </c>
      <c r="G37" s="19" t="str">
        <f t="shared" si="12"/>
        <v>Pending</v>
      </c>
      <c r="H37" s="20">
        <f t="shared" si="13"/>
        <v>-24</v>
      </c>
      <c r="I37" s="21">
        <f t="shared" si="14"/>
        <v>169</v>
      </c>
      <c r="J37" s="21">
        <f t="shared" si="15"/>
        <v>71</v>
      </c>
      <c r="K37" s="21"/>
      <c r="L37" s="19">
        <v>0.0</v>
      </c>
      <c r="M37" s="19">
        <v>0.8333</v>
      </c>
      <c r="N37" s="19">
        <v>0.7143</v>
      </c>
      <c r="O37" s="19">
        <v>0.5</v>
      </c>
      <c r="P37" s="19">
        <v>0.5238</v>
      </c>
      <c r="Q37" s="19">
        <v>0.4286</v>
      </c>
      <c r="R37" s="19">
        <v>0.4762</v>
      </c>
      <c r="S37" s="19">
        <v>0.4762</v>
      </c>
      <c r="T37" s="19">
        <v>0.9048</v>
      </c>
      <c r="U37" s="19">
        <v>0.7619</v>
      </c>
      <c r="V37" s="23"/>
      <c r="W37" s="23"/>
      <c r="X37" s="23"/>
      <c r="Y37" s="23"/>
      <c r="Z37" s="23"/>
      <c r="AA37" s="12"/>
      <c r="AB37" s="4"/>
      <c r="AC37" s="4"/>
      <c r="AD37" s="4"/>
      <c r="AE37" s="4"/>
    </row>
    <row r="38" ht="15.75" customHeight="1">
      <c r="A38" s="17" t="s">
        <v>30</v>
      </c>
      <c r="B38" s="17" t="s">
        <v>31</v>
      </c>
      <c r="C38" s="17">
        <v>3.0</v>
      </c>
      <c r="D38" s="17">
        <v>1.5115524014E10</v>
      </c>
      <c r="E38" s="17">
        <v>2.41003002E8</v>
      </c>
      <c r="F38" s="18" t="s">
        <v>59</v>
      </c>
      <c r="G38" s="19" t="str">
        <f t="shared" si="12"/>
        <v>OK</v>
      </c>
      <c r="H38" s="20">
        <f t="shared" si="13"/>
        <v>7</v>
      </c>
      <c r="I38" s="21">
        <f t="shared" si="14"/>
        <v>261</v>
      </c>
      <c r="J38" s="21">
        <f t="shared" si="15"/>
        <v>0</v>
      </c>
      <c r="K38" s="21"/>
      <c r="L38" s="19">
        <v>0.0</v>
      </c>
      <c r="M38" s="19">
        <v>1.0</v>
      </c>
      <c r="N38" s="19">
        <v>1.0</v>
      </c>
      <c r="O38" s="19">
        <v>1.0</v>
      </c>
      <c r="P38" s="19">
        <v>0.9524</v>
      </c>
      <c r="Q38" s="19">
        <v>0.8571</v>
      </c>
      <c r="R38" s="19">
        <v>0.9048</v>
      </c>
      <c r="S38" s="19">
        <v>1.0</v>
      </c>
      <c r="T38" s="19">
        <v>1.0</v>
      </c>
      <c r="U38" s="19">
        <v>1.0</v>
      </c>
      <c r="V38" s="23"/>
      <c r="W38" s="23"/>
      <c r="X38" s="23"/>
      <c r="Y38" s="23"/>
      <c r="Z38" s="23"/>
      <c r="AA38" s="12"/>
      <c r="AB38" s="4"/>
      <c r="AC38" s="4"/>
      <c r="AD38" s="4"/>
      <c r="AE38" s="4"/>
    </row>
    <row r="39" ht="15.75" customHeight="1">
      <c r="A39" s="17" t="s">
        <v>30</v>
      </c>
      <c r="B39" s="17" t="s">
        <v>31</v>
      </c>
      <c r="C39" s="17">
        <v>4.0</v>
      </c>
      <c r="D39" s="17">
        <v>1.5115524012E10</v>
      </c>
      <c r="E39" s="17">
        <v>2.41003003E8</v>
      </c>
      <c r="F39" s="18" t="s">
        <v>60</v>
      </c>
      <c r="G39" s="19" t="str">
        <f t="shared" si="12"/>
        <v>OK</v>
      </c>
      <c r="H39" s="20">
        <f t="shared" si="13"/>
        <v>15</v>
      </c>
      <c r="I39" s="21">
        <f t="shared" si="14"/>
        <v>285</v>
      </c>
      <c r="J39" s="21">
        <f t="shared" si="15"/>
        <v>0</v>
      </c>
      <c r="K39" s="21"/>
      <c r="L39" s="19">
        <v>0.8</v>
      </c>
      <c r="M39" s="19">
        <v>1.0</v>
      </c>
      <c r="N39" s="19">
        <v>1.0</v>
      </c>
      <c r="O39" s="19">
        <v>1.0</v>
      </c>
      <c r="P39" s="19">
        <v>1.0</v>
      </c>
      <c r="Q39" s="19">
        <v>0.8095</v>
      </c>
      <c r="R39" s="19">
        <v>1.0</v>
      </c>
      <c r="S39" s="19">
        <v>0.9524</v>
      </c>
      <c r="T39" s="19">
        <v>1.0</v>
      </c>
      <c r="U39" s="19">
        <v>0.9524</v>
      </c>
      <c r="V39" s="23"/>
      <c r="W39" s="23"/>
      <c r="X39" s="23"/>
      <c r="Y39" s="23"/>
      <c r="Z39" s="23"/>
      <c r="AA39" s="12"/>
      <c r="AB39" s="4"/>
      <c r="AC39" s="4"/>
      <c r="AD39" s="4"/>
      <c r="AE39" s="4"/>
    </row>
    <row r="40" ht="15.75" customHeight="1">
      <c r="A40" s="17" t="s">
        <v>30</v>
      </c>
      <c r="B40" s="17" t="s">
        <v>31</v>
      </c>
      <c r="C40" s="17">
        <v>5.0</v>
      </c>
      <c r="D40" s="17">
        <v>1.5115524023E10</v>
      </c>
      <c r="E40" s="17">
        <v>2.41003004E8</v>
      </c>
      <c r="F40" s="18" t="s">
        <v>61</v>
      </c>
      <c r="G40" s="19" t="str">
        <f t="shared" si="12"/>
        <v>Pending</v>
      </c>
      <c r="H40" s="20">
        <f t="shared" si="13"/>
        <v>-79</v>
      </c>
      <c r="I40" s="21">
        <f t="shared" si="14"/>
        <v>3</v>
      </c>
      <c r="J40" s="21">
        <f t="shared" si="15"/>
        <v>237</v>
      </c>
      <c r="K40" s="21"/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0.0476</v>
      </c>
      <c r="T40" s="19">
        <v>0.0476</v>
      </c>
      <c r="U40" s="19">
        <v>0.0</v>
      </c>
      <c r="V40" s="23"/>
      <c r="W40" s="23"/>
      <c r="X40" s="23"/>
      <c r="Y40" s="23"/>
      <c r="Z40" s="23"/>
      <c r="AA40" s="12"/>
      <c r="AB40" s="4"/>
      <c r="AC40" s="4"/>
      <c r="AD40" s="4"/>
      <c r="AE40" s="4"/>
    </row>
    <row r="41" ht="15.75" customHeight="1">
      <c r="A41" s="17" t="s">
        <v>30</v>
      </c>
      <c r="B41" s="17" t="s">
        <v>31</v>
      </c>
      <c r="C41" s="17">
        <v>6.0</v>
      </c>
      <c r="D41" s="17">
        <v>1.5115524022E10</v>
      </c>
      <c r="E41" s="17">
        <v>2.41003005E8</v>
      </c>
      <c r="F41" s="18" t="s">
        <v>62</v>
      </c>
      <c r="G41" s="19" t="str">
        <f t="shared" si="12"/>
        <v>OK</v>
      </c>
      <c r="H41" s="20">
        <f t="shared" si="13"/>
        <v>16</v>
      </c>
      <c r="I41" s="21">
        <f t="shared" si="14"/>
        <v>288</v>
      </c>
      <c r="J41" s="21">
        <f t="shared" si="15"/>
        <v>0</v>
      </c>
      <c r="K41" s="21"/>
      <c r="L41" s="19">
        <v>1.0</v>
      </c>
      <c r="M41" s="19">
        <v>0.9444</v>
      </c>
      <c r="N41" s="19">
        <v>1.0</v>
      </c>
      <c r="O41" s="19">
        <v>1.0</v>
      </c>
      <c r="P41" s="19">
        <v>1.0</v>
      </c>
      <c r="Q41" s="19">
        <v>0.7143</v>
      </c>
      <c r="R41" s="19">
        <v>0.9524</v>
      </c>
      <c r="S41" s="19">
        <v>1.0</v>
      </c>
      <c r="T41" s="19">
        <v>1.0</v>
      </c>
      <c r="U41" s="19">
        <v>1.0</v>
      </c>
      <c r="V41" s="23"/>
      <c r="W41" s="23"/>
      <c r="X41" s="23"/>
      <c r="Y41" s="23"/>
      <c r="Z41" s="23"/>
      <c r="AA41" s="12"/>
      <c r="AB41" s="4"/>
      <c r="AC41" s="4"/>
      <c r="AD41" s="4"/>
      <c r="AE41" s="4"/>
    </row>
    <row r="42" ht="15.75" customHeight="1">
      <c r="A42" s="17" t="s">
        <v>30</v>
      </c>
      <c r="B42" s="17" t="s">
        <v>31</v>
      </c>
      <c r="C42" s="17">
        <v>7.0</v>
      </c>
      <c r="D42" s="17">
        <v>1.5115524003E10</v>
      </c>
      <c r="E42" s="17">
        <v>2.41003007E8</v>
      </c>
      <c r="F42" s="18" t="s">
        <v>63</v>
      </c>
      <c r="G42" s="19" t="str">
        <f t="shared" si="12"/>
        <v>Pending</v>
      </c>
      <c r="H42" s="20">
        <f t="shared" si="13"/>
        <v>-1</v>
      </c>
      <c r="I42" s="21">
        <f t="shared" si="14"/>
        <v>237</v>
      </c>
      <c r="J42" s="21">
        <f t="shared" si="15"/>
        <v>3</v>
      </c>
      <c r="K42" s="21"/>
      <c r="L42" s="19">
        <v>0.65</v>
      </c>
      <c r="M42" s="19">
        <v>0.6667</v>
      </c>
      <c r="N42" s="19">
        <v>0.0</v>
      </c>
      <c r="O42" s="19">
        <v>1.0</v>
      </c>
      <c r="P42" s="19">
        <v>1.0</v>
      </c>
      <c r="Q42" s="19">
        <v>0.8571</v>
      </c>
      <c r="R42" s="19">
        <v>1.0</v>
      </c>
      <c r="S42" s="19">
        <v>1.0</v>
      </c>
      <c r="T42" s="19">
        <v>0.7143</v>
      </c>
      <c r="U42" s="19">
        <v>1.0</v>
      </c>
      <c r="V42" s="23"/>
      <c r="W42" s="23"/>
      <c r="X42" s="23"/>
      <c r="Y42" s="23"/>
      <c r="Z42" s="23"/>
      <c r="AA42" s="12"/>
      <c r="AB42" s="4"/>
      <c r="AC42" s="4"/>
      <c r="AD42" s="4"/>
      <c r="AE42" s="4"/>
    </row>
    <row r="43" ht="15.75" customHeight="1">
      <c r="A43" s="17" t="s">
        <v>30</v>
      </c>
      <c r="B43" s="17" t="s">
        <v>31</v>
      </c>
      <c r="C43" s="17">
        <v>8.0</v>
      </c>
      <c r="D43" s="17">
        <v>1.5115524019E10</v>
      </c>
      <c r="E43" s="17">
        <v>2.41003008E8</v>
      </c>
      <c r="F43" s="18" t="s">
        <v>64</v>
      </c>
      <c r="G43" s="19" t="str">
        <f t="shared" si="12"/>
        <v>OK</v>
      </c>
      <c r="H43" s="20">
        <f t="shared" si="13"/>
        <v>8</v>
      </c>
      <c r="I43" s="21">
        <f t="shared" si="14"/>
        <v>263</v>
      </c>
      <c r="J43" s="21">
        <f t="shared" si="15"/>
        <v>0</v>
      </c>
      <c r="K43" s="21"/>
      <c r="L43" s="19">
        <v>1.0</v>
      </c>
      <c r="M43" s="19">
        <v>0.6667</v>
      </c>
      <c r="N43" s="19">
        <v>1.0</v>
      </c>
      <c r="O43" s="19">
        <v>0.9545</v>
      </c>
      <c r="P43" s="19">
        <v>0.7143</v>
      </c>
      <c r="Q43" s="19">
        <v>0.7143</v>
      </c>
      <c r="R43" s="19">
        <v>0.9048</v>
      </c>
      <c r="S43" s="19">
        <v>0.9524</v>
      </c>
      <c r="T43" s="19">
        <v>0.8571</v>
      </c>
      <c r="U43" s="19">
        <v>1.0</v>
      </c>
      <c r="V43" s="23"/>
      <c r="W43" s="23"/>
      <c r="X43" s="23"/>
      <c r="Y43" s="23"/>
      <c r="Z43" s="23"/>
      <c r="AA43" s="12"/>
      <c r="AB43" s="4"/>
      <c r="AC43" s="4"/>
      <c r="AD43" s="4"/>
      <c r="AE43" s="4"/>
    </row>
    <row r="44" ht="15.75" customHeight="1">
      <c r="A44" s="17" t="s">
        <v>30</v>
      </c>
      <c r="B44" s="17" t="s">
        <v>31</v>
      </c>
      <c r="C44" s="17">
        <v>9.0</v>
      </c>
      <c r="D44" s="17">
        <v>1.5115524004E10</v>
      </c>
      <c r="E44" s="17">
        <v>2.41003009E8</v>
      </c>
      <c r="F44" s="18" t="s">
        <v>65</v>
      </c>
      <c r="G44" s="19" t="str">
        <f t="shared" si="12"/>
        <v>OK</v>
      </c>
      <c r="H44" s="20">
        <f t="shared" si="13"/>
        <v>12</v>
      </c>
      <c r="I44" s="21">
        <f t="shared" si="14"/>
        <v>275</v>
      </c>
      <c r="J44" s="21">
        <f t="shared" si="15"/>
        <v>0</v>
      </c>
      <c r="K44" s="21"/>
      <c r="L44" s="19">
        <v>1.0</v>
      </c>
      <c r="M44" s="19">
        <v>1.0</v>
      </c>
      <c r="N44" s="19">
        <v>1.0</v>
      </c>
      <c r="O44" s="19">
        <v>0.7727</v>
      </c>
      <c r="P44" s="19">
        <v>0.8095</v>
      </c>
      <c r="Q44" s="19">
        <v>0.7143</v>
      </c>
      <c r="R44" s="19">
        <v>0.9048</v>
      </c>
      <c r="S44" s="19">
        <v>0.9524</v>
      </c>
      <c r="T44" s="19">
        <v>1.0</v>
      </c>
      <c r="U44" s="19">
        <v>1.0</v>
      </c>
      <c r="V44" s="23"/>
      <c r="W44" s="23"/>
      <c r="X44" s="23"/>
      <c r="Y44" s="23"/>
      <c r="Z44" s="23"/>
      <c r="AA44" s="12"/>
      <c r="AB44" s="4"/>
      <c r="AC44" s="4"/>
      <c r="AD44" s="4"/>
      <c r="AE44" s="4"/>
    </row>
    <row r="45" ht="15.75" customHeight="1">
      <c r="A45" s="17" t="s">
        <v>30</v>
      </c>
      <c r="B45" s="17" t="s">
        <v>31</v>
      </c>
      <c r="C45" s="17">
        <v>10.0</v>
      </c>
      <c r="D45" s="17">
        <v>1.5115524006E10</v>
      </c>
      <c r="E45" s="17">
        <v>2.4100301E8</v>
      </c>
      <c r="F45" s="18" t="s">
        <v>66</v>
      </c>
      <c r="G45" s="19" t="str">
        <f t="shared" si="12"/>
        <v>Pending</v>
      </c>
      <c r="H45" s="20">
        <f t="shared" si="13"/>
        <v>-75</v>
      </c>
      <c r="I45" s="21">
        <f t="shared" si="14"/>
        <v>16</v>
      </c>
      <c r="J45" s="21">
        <f t="shared" si="15"/>
        <v>224</v>
      </c>
      <c r="K45" s="21"/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0.4286</v>
      </c>
      <c r="S45" s="19">
        <v>0.0476</v>
      </c>
      <c r="T45" s="19">
        <v>0.0476</v>
      </c>
      <c r="U45" s="19">
        <v>0.0</v>
      </c>
      <c r="V45" s="23"/>
      <c r="W45" s="23"/>
      <c r="X45" s="23"/>
      <c r="Y45" s="23"/>
      <c r="Z45" s="23"/>
      <c r="AA45" s="12"/>
      <c r="AB45" s="4"/>
      <c r="AC45" s="4"/>
      <c r="AD45" s="4"/>
      <c r="AE45" s="4"/>
    </row>
    <row r="46" ht="15.75" customHeight="1">
      <c r="A46" s="17" t="s">
        <v>30</v>
      </c>
      <c r="B46" s="17" t="s">
        <v>31</v>
      </c>
      <c r="C46" s="17">
        <v>11.0</v>
      </c>
      <c r="D46" s="17">
        <v>1.5115524002E10</v>
      </c>
      <c r="E46" s="17">
        <v>2.41003011E8</v>
      </c>
      <c r="F46" s="18" t="s">
        <v>67</v>
      </c>
      <c r="G46" s="19" t="str">
        <f t="shared" si="12"/>
        <v>OK</v>
      </c>
      <c r="H46" s="20">
        <f t="shared" si="13"/>
        <v>10</v>
      </c>
      <c r="I46" s="21">
        <f t="shared" si="14"/>
        <v>271</v>
      </c>
      <c r="J46" s="21">
        <f t="shared" si="15"/>
        <v>0</v>
      </c>
      <c r="K46" s="21"/>
      <c r="L46" s="19">
        <v>0.95</v>
      </c>
      <c r="M46" s="19">
        <v>1.0</v>
      </c>
      <c r="N46" s="19">
        <v>0.9048</v>
      </c>
      <c r="O46" s="19">
        <v>0.9545</v>
      </c>
      <c r="P46" s="19">
        <v>0.7619</v>
      </c>
      <c r="Q46" s="19">
        <v>0.7619</v>
      </c>
      <c r="R46" s="19">
        <v>0.8571</v>
      </c>
      <c r="S46" s="19">
        <v>1.0</v>
      </c>
      <c r="T46" s="19">
        <v>0.9524</v>
      </c>
      <c r="U46" s="19">
        <v>0.9048</v>
      </c>
      <c r="V46" s="23"/>
      <c r="W46" s="23"/>
      <c r="X46" s="23"/>
      <c r="Y46" s="23"/>
      <c r="Z46" s="23"/>
      <c r="AA46" s="12"/>
      <c r="AB46" s="4"/>
      <c r="AC46" s="4"/>
      <c r="AD46" s="4"/>
      <c r="AE46" s="4"/>
    </row>
    <row r="47" ht="15.75" customHeight="1">
      <c r="A47" s="17" t="s">
        <v>30</v>
      </c>
      <c r="B47" s="17" t="s">
        <v>31</v>
      </c>
      <c r="C47" s="17">
        <v>12.0</v>
      </c>
      <c r="D47" s="17">
        <v>1.511552402E10</v>
      </c>
      <c r="E47" s="17">
        <v>2.41003012E8</v>
      </c>
      <c r="F47" s="18" t="s">
        <v>68</v>
      </c>
      <c r="G47" s="19" t="str">
        <f t="shared" si="12"/>
        <v>Pending</v>
      </c>
      <c r="H47" s="20">
        <f t="shared" si="13"/>
        <v>-76</v>
      </c>
      <c r="I47" s="21">
        <f t="shared" si="14"/>
        <v>13</v>
      </c>
      <c r="J47" s="21">
        <f t="shared" si="15"/>
        <v>227</v>
      </c>
      <c r="K47" s="21"/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19">
        <v>0.2857</v>
      </c>
      <c r="S47" s="19">
        <v>0.0476</v>
      </c>
      <c r="T47" s="19">
        <v>0.0476</v>
      </c>
      <c r="U47" s="19">
        <v>0.0476</v>
      </c>
      <c r="V47" s="23"/>
      <c r="W47" s="23"/>
      <c r="X47" s="23"/>
      <c r="Y47" s="23"/>
      <c r="Z47" s="23"/>
      <c r="AA47" s="12"/>
      <c r="AB47" s="4"/>
      <c r="AC47" s="4"/>
      <c r="AD47" s="4"/>
      <c r="AE47" s="4"/>
    </row>
    <row r="48" ht="15.75" customHeight="1">
      <c r="A48" s="17" t="s">
        <v>30</v>
      </c>
      <c r="B48" s="17" t="s">
        <v>31</v>
      </c>
      <c r="C48" s="17">
        <v>13.0</v>
      </c>
      <c r="D48" s="17">
        <v>1.5115524015E10</v>
      </c>
      <c r="E48" s="17">
        <v>2.41003013E8</v>
      </c>
      <c r="F48" s="18" t="s">
        <v>69</v>
      </c>
      <c r="G48" s="19" t="str">
        <f t="shared" si="12"/>
        <v>Pending</v>
      </c>
      <c r="H48" s="20">
        <f t="shared" si="13"/>
        <v>-6</v>
      </c>
      <c r="I48" s="21">
        <f t="shared" si="14"/>
        <v>222</v>
      </c>
      <c r="J48" s="21">
        <f t="shared" si="15"/>
        <v>18</v>
      </c>
      <c r="K48" s="21"/>
      <c r="L48" s="19">
        <v>0.0</v>
      </c>
      <c r="M48" s="19">
        <v>0.7778</v>
      </c>
      <c r="N48" s="19">
        <v>0.5714</v>
      </c>
      <c r="O48" s="19">
        <v>0.9091</v>
      </c>
      <c r="P48" s="19">
        <v>0.4286</v>
      </c>
      <c r="Q48" s="19">
        <v>0.9048</v>
      </c>
      <c r="R48" s="19">
        <v>1.0</v>
      </c>
      <c r="S48" s="19">
        <v>0.9048</v>
      </c>
      <c r="T48" s="19">
        <v>0.9048</v>
      </c>
      <c r="U48" s="19">
        <v>1.0</v>
      </c>
      <c r="V48" s="23"/>
      <c r="W48" s="23"/>
      <c r="X48" s="23"/>
      <c r="Y48" s="23"/>
      <c r="Z48" s="23"/>
      <c r="AA48" s="12"/>
      <c r="AB48" s="4"/>
      <c r="AC48" s="4"/>
      <c r="AD48" s="4"/>
      <c r="AE48" s="4"/>
    </row>
    <row r="49" ht="15.75" customHeight="1">
      <c r="A49" s="17" t="s">
        <v>30</v>
      </c>
      <c r="B49" s="17" t="s">
        <v>31</v>
      </c>
      <c r="C49" s="17">
        <v>14.0</v>
      </c>
      <c r="D49" s="17">
        <v>1.5115524009E10</v>
      </c>
      <c r="E49" s="17">
        <v>2.41003014E8</v>
      </c>
      <c r="F49" s="18" t="s">
        <v>70</v>
      </c>
      <c r="G49" s="19" t="str">
        <f t="shared" si="12"/>
        <v>OK</v>
      </c>
      <c r="H49" s="20">
        <f t="shared" si="13"/>
        <v>19</v>
      </c>
      <c r="I49" s="21">
        <f t="shared" si="14"/>
        <v>297</v>
      </c>
      <c r="J49" s="21">
        <f t="shared" si="15"/>
        <v>0</v>
      </c>
      <c r="K49" s="21"/>
      <c r="L49" s="19">
        <v>1.0</v>
      </c>
      <c r="M49" s="19">
        <v>1.0</v>
      </c>
      <c r="N49" s="19">
        <v>1.0</v>
      </c>
      <c r="O49" s="19">
        <v>1.0</v>
      </c>
      <c r="P49" s="19">
        <v>1.0</v>
      </c>
      <c r="Q49" s="19">
        <v>1.0</v>
      </c>
      <c r="R49" s="19">
        <v>1.0</v>
      </c>
      <c r="S49" s="19">
        <v>1.0</v>
      </c>
      <c r="T49" s="19">
        <v>0.9048</v>
      </c>
      <c r="U49" s="19">
        <v>1.0</v>
      </c>
      <c r="V49" s="23"/>
      <c r="W49" s="23"/>
      <c r="X49" s="23"/>
      <c r="Y49" s="23"/>
      <c r="Z49" s="23"/>
      <c r="AA49" s="12"/>
      <c r="AB49" s="4"/>
      <c r="AC49" s="4"/>
      <c r="AD49" s="4"/>
      <c r="AE49" s="4"/>
    </row>
    <row r="50" ht="15.75" customHeight="1">
      <c r="A50" s="17" t="s">
        <v>30</v>
      </c>
      <c r="B50" s="17" t="s">
        <v>31</v>
      </c>
      <c r="C50" s="17">
        <v>15.0</v>
      </c>
      <c r="D50" s="17">
        <v>1.5115524001E10</v>
      </c>
      <c r="E50" s="17">
        <v>2.41003015E8</v>
      </c>
      <c r="F50" s="18" t="s">
        <v>71</v>
      </c>
      <c r="G50" s="19" t="str">
        <f t="shared" si="12"/>
        <v>Pending</v>
      </c>
      <c r="H50" s="20">
        <f t="shared" si="13"/>
        <v>-72</v>
      </c>
      <c r="I50" s="21">
        <f t="shared" si="14"/>
        <v>24</v>
      </c>
      <c r="J50" s="21">
        <f t="shared" si="15"/>
        <v>216</v>
      </c>
      <c r="K50" s="21"/>
      <c r="L50" s="19">
        <v>0.0</v>
      </c>
      <c r="M50" s="19">
        <v>0.0556</v>
      </c>
      <c r="N50" s="19">
        <v>0.0</v>
      </c>
      <c r="O50" s="19">
        <v>0.0455</v>
      </c>
      <c r="P50" s="19">
        <v>0.0</v>
      </c>
      <c r="Q50" s="19">
        <v>0.0</v>
      </c>
      <c r="R50" s="19">
        <v>0.4762</v>
      </c>
      <c r="S50" s="19">
        <v>0.0476</v>
      </c>
      <c r="T50" s="19">
        <v>0.0</v>
      </c>
      <c r="U50" s="19">
        <v>0.1905</v>
      </c>
      <c r="V50" s="23"/>
      <c r="W50" s="23"/>
      <c r="X50" s="23"/>
      <c r="Y50" s="23"/>
      <c r="Z50" s="23"/>
      <c r="AA50" s="12"/>
      <c r="AB50" s="4"/>
      <c r="AC50" s="4"/>
      <c r="AD50" s="4"/>
      <c r="AE50" s="4"/>
    </row>
    <row r="51" ht="15.75" customHeight="1">
      <c r="A51" s="17" t="s">
        <v>30</v>
      </c>
      <c r="B51" s="17" t="s">
        <v>31</v>
      </c>
      <c r="C51" s="17">
        <v>16.0</v>
      </c>
      <c r="D51" s="17">
        <v>1.5115524016E10</v>
      </c>
      <c r="E51" s="17">
        <v>2.41003016E8</v>
      </c>
      <c r="F51" s="18" t="s">
        <v>72</v>
      </c>
      <c r="G51" s="19" t="str">
        <f t="shared" si="12"/>
        <v>Pending</v>
      </c>
      <c r="H51" s="20">
        <f t="shared" si="13"/>
        <v>-72</v>
      </c>
      <c r="I51" s="21">
        <f t="shared" si="14"/>
        <v>24</v>
      </c>
      <c r="J51" s="21">
        <f t="shared" si="15"/>
        <v>216</v>
      </c>
      <c r="K51" s="21"/>
      <c r="L51" s="19">
        <v>0.0</v>
      </c>
      <c r="M51" s="19">
        <v>0.0</v>
      </c>
      <c r="N51" s="19">
        <v>0.0</v>
      </c>
      <c r="O51" s="19">
        <v>0.0909</v>
      </c>
      <c r="P51" s="19">
        <v>0.0</v>
      </c>
      <c r="Q51" s="19">
        <v>0.0</v>
      </c>
      <c r="R51" s="19">
        <v>0.619</v>
      </c>
      <c r="S51" s="19">
        <v>0.0476</v>
      </c>
      <c r="T51" s="19">
        <v>0.0</v>
      </c>
      <c r="U51" s="19">
        <v>0.0476</v>
      </c>
      <c r="V51" s="23"/>
      <c r="W51" s="23"/>
      <c r="X51" s="23"/>
      <c r="Y51" s="23"/>
      <c r="Z51" s="23"/>
      <c r="AA51" s="12"/>
      <c r="AB51" s="4"/>
      <c r="AC51" s="4"/>
      <c r="AD51" s="4"/>
      <c r="AE51" s="4"/>
    </row>
    <row r="52" ht="15.75" customHeight="1">
      <c r="A52" s="17" t="s">
        <v>30</v>
      </c>
      <c r="B52" s="17" t="s">
        <v>31</v>
      </c>
      <c r="C52" s="17">
        <v>17.0</v>
      </c>
      <c r="D52" s="17">
        <v>1.511552401E10</v>
      </c>
      <c r="E52" s="17">
        <v>2.41003017E8</v>
      </c>
      <c r="F52" s="18" t="s">
        <v>73</v>
      </c>
      <c r="G52" s="19" t="str">
        <f t="shared" si="12"/>
        <v>Pending</v>
      </c>
      <c r="H52" s="20">
        <f t="shared" si="13"/>
        <v>-31</v>
      </c>
      <c r="I52" s="21">
        <f t="shared" si="14"/>
        <v>146</v>
      </c>
      <c r="J52" s="21">
        <f t="shared" si="15"/>
        <v>94</v>
      </c>
      <c r="K52" s="21"/>
      <c r="L52" s="19">
        <v>0.45</v>
      </c>
      <c r="M52" s="19">
        <v>0.4444</v>
      </c>
      <c r="N52" s="19">
        <v>0.619</v>
      </c>
      <c r="O52" s="19">
        <v>0.3636</v>
      </c>
      <c r="P52" s="19">
        <v>0.2381</v>
      </c>
      <c r="Q52" s="19">
        <v>0.381</v>
      </c>
      <c r="R52" s="19">
        <v>1.0</v>
      </c>
      <c r="S52" s="19">
        <v>0.4286</v>
      </c>
      <c r="T52" s="19">
        <v>0.4286</v>
      </c>
      <c r="U52" s="19">
        <v>0.5238</v>
      </c>
      <c r="V52" s="23"/>
      <c r="W52" s="23"/>
      <c r="X52" s="23"/>
      <c r="Y52" s="23"/>
      <c r="Z52" s="23"/>
      <c r="AA52" s="12"/>
      <c r="AB52" s="4"/>
      <c r="AC52" s="4"/>
      <c r="AD52" s="4"/>
      <c r="AE52" s="4"/>
    </row>
    <row r="53" ht="15.75" customHeight="1">
      <c r="A53" s="23"/>
      <c r="B53" s="23"/>
      <c r="C53" s="23"/>
      <c r="D53" s="23"/>
      <c r="E53" s="23"/>
      <c r="F53" s="23">
        <f>counta(F36:F52)</f>
        <v>17</v>
      </c>
      <c r="G53" s="19" t="str">
        <f t="shared" si="12"/>
        <v>Pending</v>
      </c>
      <c r="H53" s="20">
        <f t="shared" si="13"/>
        <v>-20</v>
      </c>
      <c r="I53" s="21">
        <f t="shared" si="14"/>
        <v>179</v>
      </c>
      <c r="J53" s="21">
        <f t="shared" si="15"/>
        <v>61</v>
      </c>
      <c r="K53" s="21"/>
      <c r="L53" s="27">
        <f t="shared" ref="L53:Z53" si="16">SUM(L36:L52)/$F$53</f>
        <v>0.4588235294</v>
      </c>
      <c r="M53" s="27">
        <f t="shared" si="16"/>
        <v>0.6111117647</v>
      </c>
      <c r="N53" s="27">
        <f t="shared" si="16"/>
        <v>0.5686235294</v>
      </c>
      <c r="O53" s="27">
        <f t="shared" si="16"/>
        <v>0.6016</v>
      </c>
      <c r="P53" s="27">
        <f t="shared" si="16"/>
        <v>0.5434176471</v>
      </c>
      <c r="Q53" s="27">
        <f t="shared" si="16"/>
        <v>0.5182117647</v>
      </c>
      <c r="R53" s="27">
        <f t="shared" si="16"/>
        <v>0.7479058824</v>
      </c>
      <c r="S53" s="27">
        <f t="shared" si="16"/>
        <v>0.6274529412</v>
      </c>
      <c r="T53" s="27">
        <f t="shared" si="16"/>
        <v>0.6302588235</v>
      </c>
      <c r="U53" s="27">
        <f t="shared" si="16"/>
        <v>0.6666705882</v>
      </c>
      <c r="V53" s="27">
        <f t="shared" si="16"/>
        <v>0</v>
      </c>
      <c r="W53" s="27">
        <f t="shared" si="16"/>
        <v>0</v>
      </c>
      <c r="X53" s="27">
        <f t="shared" si="16"/>
        <v>0</v>
      </c>
      <c r="Y53" s="27">
        <f t="shared" si="16"/>
        <v>0</v>
      </c>
      <c r="Z53" s="27">
        <f t="shared" si="16"/>
        <v>0</v>
      </c>
      <c r="AA53" s="12"/>
      <c r="AB53" s="4"/>
      <c r="AC53" s="4"/>
      <c r="AD53" s="4"/>
      <c r="AE53" s="4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4"/>
      <c r="AB54" s="4"/>
      <c r="AC54" s="4"/>
      <c r="AD54" s="4"/>
      <c r="AE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</row>
    <row r="1001" ht="15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</row>
    <row r="1002" ht="15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</row>
    <row r="1003" ht="15.7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</row>
  </sheetData>
  <mergeCells count="6">
    <mergeCell ref="A1:O1"/>
    <mergeCell ref="A2:O2"/>
    <mergeCell ref="A3:O3"/>
    <mergeCell ref="A4:O4"/>
    <mergeCell ref="A20:F20"/>
    <mergeCell ref="A34:F34"/>
  </mergeCells>
  <conditionalFormatting sqref="L7:Z20 AA7:AA52 L22:Z34 L36:Z53">
    <cfRule type="cellIs" dxfId="0" priority="1" operator="greaterThanOrEqual">
      <formula>"80.01%"</formula>
    </cfRule>
  </conditionalFormatting>
  <conditionalFormatting sqref="L7:Z20 AA7:AA52 L22:Z34 L36:Z53">
    <cfRule type="cellIs" dxfId="1" priority="2" operator="lessThanOrEqual">
      <formula>"79.99%"</formula>
    </cfRule>
  </conditionalFormatting>
  <conditionalFormatting sqref="L7:Z20 AA7:AA52 L22:Z34 L36:Z53">
    <cfRule type="cellIs" dxfId="2" priority="3" operator="equal">
      <formula>"80%"</formula>
    </cfRule>
  </conditionalFormatting>
  <conditionalFormatting sqref="S43:V47">
    <cfRule type="notContainsBlanks" dxfId="0" priority="4">
      <formula>LEN(TRIM(S43))&gt;0</formula>
    </cfRule>
  </conditionalFormatting>
  <conditionalFormatting sqref="G7:G20 G22:G34 G36:G53">
    <cfRule type="expression" dxfId="3" priority="5">
      <formula>AND(H7&lt;0,K7&lt;J7)</formula>
    </cfRule>
  </conditionalFormatting>
  <conditionalFormatting sqref="G7:G20 G22:G34 G36:G53">
    <cfRule type="expression" dxfId="0" priority="6">
      <formula>AND(H7&lt;0,K7&gt;=J7)</formula>
    </cfRule>
  </conditionalFormatting>
  <conditionalFormatting sqref="G7:G20 G22:G34 G36:G53">
    <cfRule type="expression" dxfId="2" priority="7">
      <formula>H7&gt;=0</formula>
    </cfRule>
  </conditionalFormatting>
  <conditionalFormatting sqref="H7:H20 H22:H34 H36:H53">
    <cfRule type="cellIs" dxfId="4" priority="8" operator="lessThanOrEqual">
      <formula>-0.01</formula>
    </cfRule>
  </conditionalFormatting>
  <conditionalFormatting sqref="H7:H20 H22:H34 H36:H53">
    <cfRule type="cellIs" dxfId="5" priority="9" operator="equal">
      <formula>0</formula>
    </cfRule>
  </conditionalFormatting>
  <conditionalFormatting sqref="J7:J20 J22:J34 J36:J53">
    <cfRule type="cellIs" dxfId="1" priority="10" operator="greaterThan">
      <formula>0</formula>
    </cfRule>
  </conditionalFormatting>
  <conditionalFormatting sqref="J7:J20 J22:J34 J36:J53">
    <cfRule type="cellIs" dxfId="0" priority="11" operator="equal">
      <formula>0</formula>
    </cfRule>
  </conditionalFormatting>
  <conditionalFormatting sqref="I7:I20 I22:I34 I36:I53">
    <cfRule type="expression" dxfId="0" priority="12">
      <formula>J7=0</formula>
    </cfRule>
  </conditionalFormatting>
  <conditionalFormatting sqref="I7:I20 I22:I34 I36:I53">
    <cfRule type="expression" dxfId="1" priority="13">
      <formula>J7&gt;0</formula>
    </cfRule>
  </conditionalFormatting>
  <conditionalFormatting sqref="K7:K20 K22:K34 K36:K53">
    <cfRule type="expression" dxfId="0" priority="14">
      <formula>J7=0</formula>
    </cfRule>
  </conditionalFormatting>
  <conditionalFormatting sqref="K7:K20 K22:K34 K36:K53">
    <cfRule type="expression" dxfId="1" priority="15">
      <formula>and(J7&gt;0,J7&gt;K7)</formula>
    </cfRule>
  </conditionalFormatting>
  <conditionalFormatting sqref="K7:K20 K22:K34 K36:K53">
    <cfRule type="expression" dxfId="6" priority="16">
      <formula>or(J7=K7)</formula>
    </cfRule>
  </conditionalFormatting>
  <conditionalFormatting sqref="F7:F53">
    <cfRule type="expression" dxfId="1" priority="17">
      <formula>AND(H7&lt;0,K7&lt;J7)</formula>
    </cfRule>
  </conditionalFormatting>
  <conditionalFormatting sqref="F7:F53">
    <cfRule type="expression" dxfId="0" priority="18">
      <formula>AND(H7&lt;0,K7&gt;=J7)</formula>
    </cfRule>
  </conditionalFormatting>
  <conditionalFormatting sqref="F7:F53">
    <cfRule type="expression" dxfId="7" priority="19">
      <formula>H7&gt;=0</formula>
    </cfRule>
  </conditionalFormatting>
  <conditionalFormatting sqref="H7:H55">
    <cfRule type="cellIs" dxfId="0" priority="20" operator="greaterThanOrEqual">
      <formula>0.01</formula>
    </cfRule>
  </conditionalFormatting>
  <printOptions/>
  <pageMargins bottom="0.75" footer="0.0" header="0.0" left="0.7" right="0.7" top="0.75"/>
  <pageSetup orientation="landscape"/>
  <drawing r:id="rId1"/>
</worksheet>
</file>