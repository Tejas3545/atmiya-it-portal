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" sheetId="1" r:id="rId5"/>
    <sheet state="visible" name="AI &amp; ML" sheetId="2" r:id="rId6"/>
    <sheet state="visible" name="CSE" sheetId="3" r:id="rId7"/>
  </sheets>
  <definedNames/>
  <calcPr/>
</workbook>
</file>

<file path=xl/sharedStrings.xml><?xml version="1.0" encoding="utf-8"?>
<sst xmlns="http://schemas.openxmlformats.org/spreadsheetml/2006/main" count="2305" uniqueCount="783">
  <si>
    <t>Cumulative Attendance Report - Overall</t>
  </si>
  <si>
    <t>51 - Faculty of Engineering &amp; Technology</t>
  </si>
  <si>
    <t>001 - Computer Engineering</t>
  </si>
  <si>
    <t>B.TECH. COMPUTER SCIENCE &amp; ENGINEERING (AI &amp; ML) SEMESTER - 3 ATTENDANCE REPORT</t>
  </si>
  <si>
    <t>B.TECH. COMPUTER SCIENCE &amp; ENGINEERING SEMESTER - 3 ATTENDANCE REPORT</t>
  </si>
  <si>
    <t>B.TECH. COMPUTER ENGINEERING SEMESTER - 3 ATTENDANCE REPORT</t>
  </si>
  <si>
    <t>Div</t>
  </si>
  <si>
    <t>Batch</t>
  </si>
  <si>
    <t>Roll No</t>
  </si>
  <si>
    <t>Reg. No</t>
  </si>
  <si>
    <t>Enr. No.</t>
  </si>
  <si>
    <t>Student's Name</t>
  </si>
  <si>
    <t>Status</t>
  </si>
  <si>
    <t>Points Earns</t>
  </si>
  <si>
    <t xml:space="preserve">Total Hours attended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</si>
  <si>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</si>
  <si>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</si>
  <si>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</si>
  <si>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</si>
  <si>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</si>
  <si>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</si>
  <si>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</si>
  <si>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</si>
  <si>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</si>
  <si>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</si>
  <si>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</si>
  <si>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</si>
  <si>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</si>
  <si>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</si>
  <si>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</si>
  <si>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</si>
  <si>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</si>
  <si>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BZ</t>
  </si>
  <si>
    <t>3BX</t>
  </si>
  <si>
    <t>BZ1</t>
  </si>
  <si>
    <t>BU</t>
  </si>
  <si>
    <t>BX1</t>
  </si>
  <si>
    <t>Abhijeet Mishra</t>
  </si>
  <si>
    <t>BU1</t>
  </si>
  <si>
    <t>Badi Mohamadarsheel Asifahmed</t>
  </si>
  <si>
    <t>Bhimani Jay Rajeshkumar</t>
  </si>
  <si>
    <t>Bhanderi Darshilkumar Vijaybhai</t>
  </si>
  <si>
    <t>Ambasana Krushna Kamleshbhai</t>
  </si>
  <si>
    <t>Amdani Hasnain Razaa Nasirahmed</t>
  </si>
  <si>
    <t>Gadara Prushti Rajeshbhai</t>
  </si>
  <si>
    <t>Ananya S Pillai</t>
  </si>
  <si>
    <t>Almirah Jam</t>
  </si>
  <si>
    <t>Gambhava Rinkal Jayantibhai</t>
  </si>
  <si>
    <t>Babariya Rinkal Prafulbhai</t>
  </si>
  <si>
    <t>Baliya Rishi Hirenbhai</t>
  </si>
  <si>
    <t>Changani Deepkumar Pareshkumar</t>
  </si>
  <si>
    <t>Barvaliya Yaksh Dalsukhbhai</t>
  </si>
  <si>
    <t>Bagadia Devanshu Paragbhai</t>
  </si>
  <si>
    <t>Bavarva Yash Dineshbhai</t>
  </si>
  <si>
    <t>Rojivadiya Nandani Shaileshkumar</t>
  </si>
  <si>
    <t>Bakaraniya Khushi Hiteshbhai</t>
  </si>
  <si>
    <t>Pandya Khushi Manishkumar</t>
  </si>
  <si>
    <t>Bavarva Rudra Nileshbhai</t>
  </si>
  <si>
    <t>Mavani Meet Prakashbhai</t>
  </si>
  <si>
    <t>Bechra Het Anishbhai</t>
  </si>
  <si>
    <t>Bhanderi Bansi Nikulbhai</t>
  </si>
  <si>
    <t>Vachhani Prushti Pankajbhai</t>
  </si>
  <si>
    <t>Bhanvadiya Dhruv Vipulbhai</t>
  </si>
  <si>
    <t>Bhalodi Het Yogeshbhai</t>
  </si>
  <si>
    <t>Faldu Khushbu Bhupendrabhai</t>
  </si>
  <si>
    <t>Bheda Nikhilkumar Bharatbhai</t>
  </si>
  <si>
    <t>Bhanderi Henil Sanjaybhai</t>
  </si>
  <si>
    <t>BU2</t>
  </si>
  <si>
    <t>Ponna Subba Rayudu</t>
  </si>
  <si>
    <t>Bhimani Kunal Maheshbhai</t>
  </si>
  <si>
    <t>Bhojani Jeet Hasmukhbhai</t>
  </si>
  <si>
    <t>Ghetiya Het Haridas</t>
  </si>
  <si>
    <t>Boradia Vedant Jigneshbhai</t>
  </si>
  <si>
    <t>Chandarana Ronak Tarunbhai</t>
  </si>
  <si>
    <t>Senjaliya Jeet Bipinbhai</t>
  </si>
  <si>
    <t>Chandpa Avani Dolarbhai</t>
  </si>
  <si>
    <t>Chauhan Prachi Hareshbhai</t>
  </si>
  <si>
    <t>Hada Gunjan Niteshbhai</t>
  </si>
  <si>
    <t>Chauhan Yogesh Darshanbhai</t>
  </si>
  <si>
    <t>Dadhaniya Aryan Mayurkumar</t>
  </si>
  <si>
    <t>Sanchala Riddhi Nischalkumar</t>
  </si>
  <si>
    <t>Chavda Harishree Kiranbhai</t>
  </si>
  <si>
    <t>Dafda Chitra Dhirendrabhai</t>
  </si>
  <si>
    <t>Poriya Nandan Mukeshbhai</t>
  </si>
  <si>
    <t>Danidhariya Priya Rajeshbhai</t>
  </si>
  <si>
    <t>Desai Khushboo Bhaveshkumar</t>
  </si>
  <si>
    <t>Rathod Rajsavi Jayeshbhai</t>
  </si>
  <si>
    <t>Darshil Manvar</t>
  </si>
  <si>
    <t>Dodiya Prince Vinodbhai</t>
  </si>
  <si>
    <t>Sadikot Khojema Shabbirbhai</t>
  </si>
  <si>
    <t>Dave Radhika Kamleshbhai</t>
  </si>
  <si>
    <t>Faldu Sharan Deepakbhai</t>
  </si>
  <si>
    <t>Riya Kacha</t>
  </si>
  <si>
    <t>Desai Yashkumar Pareshbhai</t>
  </si>
  <si>
    <t>Gadara Rushi Vinodbhai</t>
  </si>
  <si>
    <t>Joshi Drashti Hemangbhai</t>
  </si>
  <si>
    <t>Detroja Vishwa Rohitbhai</t>
  </si>
  <si>
    <t>Gajera Vishva Jayantilal</t>
  </si>
  <si>
    <t>Chavda Jayraj Prakashbhai</t>
  </si>
  <si>
    <t>Dodiya Rajvi Vanrajbhai</t>
  </si>
  <si>
    <t>Hariyani Mayank Gautambhai</t>
  </si>
  <si>
    <t>Doshi Jainam Chetanbhai</t>
  </si>
  <si>
    <t>BT</t>
  </si>
  <si>
    <t>BT1</t>
  </si>
  <si>
    <t>Bhesdadiya Tirth Kirankumar</t>
  </si>
  <si>
    <t>Jadeja Dhruvrajsinh Dashrathsinh</t>
  </si>
  <si>
    <t>Dudharejiya Vishva Viralbhai</t>
  </si>
  <si>
    <t>Dudhatra Rutvi Jayeshbhai</t>
  </si>
  <si>
    <t>Jakhaliya Hetal Khodabhai</t>
  </si>
  <si>
    <t>Gondaliya Tisha Jigneshbhai</t>
  </si>
  <si>
    <t>Jotaniya Yash Bhupatbhai</t>
  </si>
  <si>
    <t>Goree Ishratbanu Aminbhai</t>
  </si>
  <si>
    <t>Kabar Vishant Ashwinbhai</t>
  </si>
  <si>
    <t>Gosai Hetvi Dipengiri</t>
  </si>
  <si>
    <t>Kadivar Satyamkumar Nileshbhai</t>
  </si>
  <si>
    <t>Gosaliya Devanshi Hemrajbhai</t>
  </si>
  <si>
    <t>BX2</t>
  </si>
  <si>
    <t>Kagathara Prachi Ratilal</t>
  </si>
  <si>
    <t>Gupta Ojasvi Shriniraj</t>
  </si>
  <si>
    <t>Panchasara Jayneesh Kalpeshbhai</t>
  </si>
  <si>
    <t>Kakadiya Netra Alpeshbhai</t>
  </si>
  <si>
    <t>BZ2</t>
  </si>
  <si>
    <t>Hiren Zinzuwadia</t>
  </si>
  <si>
    <t>Padaliya Ashit Ashwinbhai</t>
  </si>
  <si>
    <t>Kamaliya Heetkumar Kanabhai</t>
  </si>
  <si>
    <t>Meetrajsinh Jadeja</t>
  </si>
  <si>
    <t>Ghetia Khushi Pareshbhai</t>
  </si>
  <si>
    <t>Kanabar Prit Shaileshbhai</t>
  </si>
  <si>
    <t>Jaiswar Dhruv Dayanath</t>
  </si>
  <si>
    <t>Vyas Jiya Rajubhai</t>
  </si>
  <si>
    <t>Kanjariya Parth Hasmukhbhai</t>
  </si>
  <si>
    <t>Janavee Patel</t>
  </si>
  <si>
    <t>Bhadeshiya Utsav Prafulbhai</t>
  </si>
  <si>
    <t>Kanpariya Niva Jagrut</t>
  </si>
  <si>
    <t>Jayswal Nandita Prakashbhai</t>
  </si>
  <si>
    <t>Kapuriya Meet Mukesh</t>
  </si>
  <si>
    <t>Joshi Kashyap Dharmendrabhai</t>
  </si>
  <si>
    <t>Kapuriya Vaidehi Pankajbhai</t>
  </si>
  <si>
    <t>Joshi Nanditi Ketanbhai</t>
  </si>
  <si>
    <t>Khuva Vidhya Jagdishbhai</t>
  </si>
  <si>
    <t>Pansuriya Yashasvi Kailashbhai</t>
  </si>
  <si>
    <t>Koradiya Meet Ratilal</t>
  </si>
  <si>
    <t>Kadivar Dev Denishbhai</t>
  </si>
  <si>
    <t>Kapasi Murtaza Taha</t>
  </si>
  <si>
    <t>Kotak Foram Manishbhai</t>
  </si>
  <si>
    <t>Maradiya Dhyey Alpeshkumar</t>
  </si>
  <si>
    <t>Ladani Hetvi Vijaybhai</t>
  </si>
  <si>
    <t>Devmurari Pranav Samirbhai</t>
  </si>
  <si>
    <t>Lila Aastha Kishorbhai</t>
  </si>
  <si>
    <t>Kathiriya Vishva Suresh</t>
  </si>
  <si>
    <t>Lodhiya Dhaval Rajeshbhai</t>
  </si>
  <si>
    <t>Lukka Hiya Gopalbhai</t>
  </si>
  <si>
    <t>Kathrotiya Maan Kamleshbhai</t>
  </si>
  <si>
    <t>Kengale Nihal Sunil</t>
  </si>
  <si>
    <t>Maheta Priyanka Hiteshbhai</t>
  </si>
  <si>
    <t>Makadia Preet Jayesh</t>
  </si>
  <si>
    <t>Khared Harshilkumar Girdharbhai</t>
  </si>
  <si>
    <t>Makavana Bhavin Viththalbhai</t>
  </si>
  <si>
    <t>Khatara Isha Mukeshbhai</t>
  </si>
  <si>
    <t>Korat Krisha Vipulbhai</t>
  </si>
  <si>
    <t>Makwana Mayur Ashvinbhai</t>
  </si>
  <si>
    <t>Kotadiya Krish</t>
  </si>
  <si>
    <t>Mandaviya Dhruv Rajesh</t>
  </si>
  <si>
    <t>Kotecha Khushi Manishbhai</t>
  </si>
  <si>
    <t>Mandora Devang Shantibhai</t>
  </si>
  <si>
    <t>Lalwani Ashish Lakhanbhai</t>
  </si>
  <si>
    <t>Nagrecha Tilak Sandipbhai</t>
  </si>
  <si>
    <t>Mahida Monika Jitendrabhai</t>
  </si>
  <si>
    <t>Nakum Hardikkumar Sureshbhai</t>
  </si>
  <si>
    <t>Makawana Kush Mansukhbhai</t>
  </si>
  <si>
    <t>Nandani Kailash Vijaybhai</t>
  </si>
  <si>
    <t>Makvana Krish Hareshbhai</t>
  </si>
  <si>
    <t>Nimbark Sneha Dixitbhai</t>
  </si>
  <si>
    <t>Makwana Devam Ravindrabhai</t>
  </si>
  <si>
    <t>Pal Yatish Munna</t>
  </si>
  <si>
    <t>Makwana Kirtan Dipeshbhai</t>
  </si>
  <si>
    <t>Pancholi Hemangi Ravindrabhai</t>
  </si>
  <si>
    <t>Manvar Happy Rashmikantbhai</t>
  </si>
  <si>
    <t>BX3</t>
  </si>
  <si>
    <t>Pandya Krishna Dharmeshbhai</t>
  </si>
  <si>
    <t>BZ3</t>
  </si>
  <si>
    <t>Mera Budhdhadev Devjibhai</t>
  </si>
  <si>
    <t>Patadiya Mihir Rajeshbhai</t>
  </si>
  <si>
    <t>Mungalpara Meet Arvindbhai</t>
  </si>
  <si>
    <t>Nadiyapara Neel Shaileshbhai</t>
  </si>
  <si>
    <t>Patel Gyananshi Harikrushnbhai</t>
  </si>
  <si>
    <t>Nagar Abhi Ashvinkumar</t>
  </si>
  <si>
    <t>Patel Shreya Jaydevbhai</t>
  </si>
  <si>
    <t>Nikhil Mugali</t>
  </si>
  <si>
    <t>Patil Lalit Laxmanbhai</t>
  </si>
  <si>
    <t>Noida Rehan Imranbhai</t>
  </si>
  <si>
    <t>Prachchhak Jay Sunil</t>
  </si>
  <si>
    <t>Padaliya Manthan Punit</t>
  </si>
  <si>
    <t>Raja Jay Kaushik</t>
  </si>
  <si>
    <t>Padaliya Raj Ashishbhai</t>
  </si>
  <si>
    <t>Rathod Kiran Kishorbhai</t>
  </si>
  <si>
    <t>Panchotiya Prince Rajivbhai</t>
  </si>
  <si>
    <t>Rathod Nivaben Sanjaybhai</t>
  </si>
  <si>
    <t>Parekh Harshit Dharmeshkumar</t>
  </si>
  <si>
    <t>Sakariya Vishakha Laljibhai</t>
  </si>
  <si>
    <t>Paresha Harsh Chetanbhai</t>
  </si>
  <si>
    <t>Savaliya Priya Bhikhubhai</t>
  </si>
  <si>
    <t>Parmar Jaykumar Shaileshbhai</t>
  </si>
  <si>
    <t>Shobhana Prachi Renishbhai</t>
  </si>
  <si>
    <t>Shah Rishabh Brijeshbhai</t>
  </si>
  <si>
    <t>Tanvi Hirpara</t>
  </si>
  <si>
    <t>Vaishnani Jashkumar Navnitbhai</t>
  </si>
  <si>
    <t>Thacker Teesha Hirenbhai</t>
  </si>
  <si>
    <t>Goswami Rachana Nileshgiri</t>
  </si>
  <si>
    <t>Raval Mihir Kishanbhai</t>
  </si>
  <si>
    <t>Thobhani Mahek Ketanbhai</t>
  </si>
  <si>
    <t>Sinojia Charu Hetalkumar</t>
  </si>
  <si>
    <t>Vachhani Richa Bipinbhai</t>
  </si>
  <si>
    <t>Parekh Priya Kalpesh</t>
  </si>
  <si>
    <t>Vaghasiya Vishva Jagdish</t>
  </si>
  <si>
    <t>Sarvaiya Deep Keshavlal</t>
  </si>
  <si>
    <t>Vaghela Dharmendrasinh Kanaksinh</t>
  </si>
  <si>
    <t>Virani Mansi Yagneshbhai</t>
  </si>
  <si>
    <t>Vamja Aarchi Dipeshkumar</t>
  </si>
  <si>
    <t>Shekhat Ruchi Jitendrabhai</t>
  </si>
  <si>
    <t>Varsada Preet Indrajeetbhai</t>
  </si>
  <si>
    <t>Kanpara Tithi Vipulbhai</t>
  </si>
  <si>
    <t>Vasoya Divya Pragneshkumar</t>
  </si>
  <si>
    <t>Dodhiya Aksha Junedbhai</t>
  </si>
  <si>
    <t>Zapadiya Yash Bharatbhai</t>
  </si>
  <si>
    <t>Mandaliya Naimi Manishkumar</t>
  </si>
  <si>
    <t>Zatiya Gautam Ramsurbhai</t>
  </si>
  <si>
    <t>Doshi Dhrumil Chetanbhai</t>
  </si>
  <si>
    <t>Makwana Dhruvil Anandbhai</t>
  </si>
  <si>
    <t>Dholakiya Jayom Bhaveshbhai</t>
  </si>
  <si>
    <t>Rathod Amit Rameshbhai</t>
  </si>
  <si>
    <t>Jagot Mohammedfaiz Tofik</t>
  </si>
  <si>
    <t>Vadher Yash Ajaybhai</t>
  </si>
  <si>
    <t>Suslade Suyash Rajeshbhai</t>
  </si>
  <si>
    <t>Zala Meetrajsinh Pruthvirajsinh</t>
  </si>
  <si>
    <t>BW</t>
  </si>
  <si>
    <t>BW1</t>
  </si>
  <si>
    <t>Parsaniya Shaili Brijeshbhai</t>
  </si>
  <si>
    <t>Mehta Vatsal Mehulbhai</t>
  </si>
  <si>
    <t>Santola Aditya Kiritbhai</t>
  </si>
  <si>
    <t>Lakhtariya Sakshi Bhaveshbhai</t>
  </si>
  <si>
    <t>Chudasama Janvi Hamirbhai</t>
  </si>
  <si>
    <t>3BY</t>
  </si>
  <si>
    <t>BY1</t>
  </si>
  <si>
    <t>Hudad Dhareshwariba Himanshubhai</t>
  </si>
  <si>
    <t>Patel Anandbhai</t>
  </si>
  <si>
    <t>Patel Brinda Sanjaybhai</t>
  </si>
  <si>
    <t>Pathan Mohammad Kalim Ahmed Husain</t>
  </si>
  <si>
    <t>Pathan Mohammad Muzammil Niyaz Ahmad</t>
  </si>
  <si>
    <t>Pitroda Radhey Vinodbhai</t>
  </si>
  <si>
    <t>Solanki Trupti Arvindbhai</t>
  </si>
  <si>
    <t>Pomal Riddhi Jignesh</t>
  </si>
  <si>
    <t>Rabadiya Jaimish Rajeshkumar</t>
  </si>
  <si>
    <t>Mandani Viraj Bharatbhai</t>
  </si>
  <si>
    <t>Rabadiya Unnati Pareshbhai</t>
  </si>
  <si>
    <t>Joshi Dhairya Kaushikbhai</t>
  </si>
  <si>
    <t>Radadiya Rutu Manjibhai</t>
  </si>
  <si>
    <t>Pandya Meet Mayurbhai</t>
  </si>
  <si>
    <t>Rampariya Kavya Ravindrabhai</t>
  </si>
  <si>
    <t>Solanki Dhruv Hitendrabhai</t>
  </si>
  <si>
    <t>Rathod Dixita Vijaybhai</t>
  </si>
  <si>
    <t>Bhut Jiya Jigneshbhai</t>
  </si>
  <si>
    <t>Rathod Kaushal Miteshkumar</t>
  </si>
  <si>
    <t>Trambadia Nairin Amrishbhai</t>
  </si>
  <si>
    <t>Rathod Kesar Punit</t>
  </si>
  <si>
    <t>Dhakan Krupa Chiragbhai</t>
  </si>
  <si>
    <t>Rathod Nikhil Parsotambhai</t>
  </si>
  <si>
    <t>Dadhaniya Krisha Jatinbhai</t>
  </si>
  <si>
    <t>Roshani Gaur</t>
  </si>
  <si>
    <t>Akola Shruti Bhaveshbhai</t>
  </si>
  <si>
    <t>Rudri Bhila</t>
  </si>
  <si>
    <t>Saglani Priya Rajeshbhai</t>
  </si>
  <si>
    <t>Sagar Viraj Bahadurbhai</t>
  </si>
  <si>
    <t>Sagpariya Purv Lineshbhai</t>
  </si>
  <si>
    <t>Aparnathi Manasgiri Niteshgiri</t>
  </si>
  <si>
    <t>Sakariya Man Hareshbhai</t>
  </si>
  <si>
    <t>Dave Janvi Bharatbhai</t>
  </si>
  <si>
    <t>Shingala Darshil Hiteshbhai</t>
  </si>
  <si>
    <t>Minsariya Azad Alnurbhai</t>
  </si>
  <si>
    <t>Sitapara Savan Manishbhai</t>
  </si>
  <si>
    <t>Shishangiya Dhyey Sanjaybhai</t>
  </si>
  <si>
    <t>Sodha Bansi Mukeshbhai</t>
  </si>
  <si>
    <t>Parmar Shubham Pravinbhai</t>
  </si>
  <si>
    <t>Solanki Sumit Rajeshkumar</t>
  </si>
  <si>
    <t>Jadeja Yashrajsinh Virbhadrasinh</t>
  </si>
  <si>
    <t>Solanki Yash Jayeshbhai</t>
  </si>
  <si>
    <t>Gondaliya Tushar Prafulbhai</t>
  </si>
  <si>
    <t>Talaviya Priyanshu Manishbhai</t>
  </si>
  <si>
    <t>Kothadia Mishri Rakeshbhai</t>
  </si>
  <si>
    <t>Thoriya Arjun Amitbhai</t>
  </si>
  <si>
    <t>Chorala Unnati Jentibhai</t>
  </si>
  <si>
    <t>BW2</t>
  </si>
  <si>
    <t>Titli Rajdev</t>
  </si>
  <si>
    <t>Gathani Ishita Shitalkumar</t>
  </si>
  <si>
    <t>Tiwari Priyanshi Shekharbhai</t>
  </si>
  <si>
    <t>Rathod Jeel Manojbhai</t>
  </si>
  <si>
    <t>Undhad Dhruvi Nileshbhai</t>
  </si>
  <si>
    <t>Marvaniya Krish Sanjaykumar</t>
  </si>
  <si>
    <t>Vachhani Jinal Hiteshbhai</t>
  </si>
  <si>
    <t>Vaghasiya Tanvi Vipulbhai</t>
  </si>
  <si>
    <t>Dadhania Krishi Jayeshbhai</t>
  </si>
  <si>
    <t>Vaghela Yash Manojbhai</t>
  </si>
  <si>
    <t>Yarlagadda Joanna Johnprasad</t>
  </si>
  <si>
    <t>Vara Devrshya Alpesh</t>
  </si>
  <si>
    <t>Sojitra Drumi Rameshbhai</t>
  </si>
  <si>
    <t>Vedika Pareshbhai Parekh</t>
  </si>
  <si>
    <t>Bela Nikita Palabhai</t>
  </si>
  <si>
    <t>Viddhi Vadoliya</t>
  </si>
  <si>
    <t>BY2</t>
  </si>
  <si>
    <t>Patel Darshil Shaileshbhai</t>
  </si>
  <si>
    <t>Viralben Dobariya</t>
  </si>
  <si>
    <t>Hirani Pavan Ashishkumar</t>
  </si>
  <si>
    <t>Viramgama Pranjal Dilipbhai</t>
  </si>
  <si>
    <t>Solanki Krish Arvindbhai</t>
  </si>
  <si>
    <t>Vora Hetvi Hiteshbhai</t>
  </si>
  <si>
    <t>Vikma Kamal Pratapbhai.</t>
  </si>
  <si>
    <t>Vora Mufaddal Nuruddin</t>
  </si>
  <si>
    <t>Vyas Harsh Hardikbhai</t>
  </si>
  <si>
    <t>Bagda Hiteksha Karabhai</t>
  </si>
  <si>
    <t>BW3</t>
  </si>
  <si>
    <t>Adapa Jai Naga Sai Pavan Sandesh</t>
  </si>
  <si>
    <t>Parmar Mital Arvindbhai</t>
  </si>
  <si>
    <t>Agurla Shravya</t>
  </si>
  <si>
    <t>Kambariya Yash Jayeshbhai</t>
  </si>
  <si>
    <t>Alladurgam bhuvan Rai</t>
  </si>
  <si>
    <t>Vadaliya Chelsi Nileshbhai</t>
  </si>
  <si>
    <t>Ananthoju Tanish</t>
  </si>
  <si>
    <t>Vegad Priya Mahendrabhai</t>
  </si>
  <si>
    <t>B Yogarathna Reddy</t>
  </si>
  <si>
    <t>Bharat Pratap</t>
  </si>
  <si>
    <t>Raval Manali Pareshbhai</t>
  </si>
  <si>
    <t>Bodakunti Kalyan</t>
  </si>
  <si>
    <t>Joshi Diya Hemangbhai</t>
  </si>
  <si>
    <t>Eragadindla Vamshi</t>
  </si>
  <si>
    <t>Erra Pooja</t>
  </si>
  <si>
    <t>Shah Nishit Satishbhai</t>
  </si>
  <si>
    <t>Gadi Saiteja</t>
  </si>
  <si>
    <t>Rana Yuvrajsinh Pankajsinh</t>
  </si>
  <si>
    <t>Karre Sanjay Kumar</t>
  </si>
  <si>
    <t>Suva Yuvraj Jagdishbhai</t>
  </si>
  <si>
    <t>Manthuri Anudeep Chary</t>
  </si>
  <si>
    <t>Rathod Purvisha Maheshbhai</t>
  </si>
  <si>
    <t>Mucharla Dhanush Yadav</t>
  </si>
  <si>
    <t>Patanvadiya Drashti Manojbhai</t>
  </si>
  <si>
    <t>Mutyala yaajnavalkya</t>
  </si>
  <si>
    <t>Unagar Drashti Yogeshbhai</t>
  </si>
  <si>
    <t>Putta Rohith Veera Venkata Vignesh</t>
  </si>
  <si>
    <t>Vaghasiya Tapan Dharmeshbhai</t>
  </si>
  <si>
    <t>Raju Kalyan</t>
  </si>
  <si>
    <t>Kalola Sahaj Chetanbhai</t>
  </si>
  <si>
    <t>Talikoti Srikar</t>
  </si>
  <si>
    <t>Visodiya Krishaben Devjibhai</t>
  </si>
  <si>
    <t>Tatapudi Kiran Teja Krishna</t>
  </si>
  <si>
    <t>Akola Bansiben Bipinbhai</t>
  </si>
  <si>
    <t>Omkar Nath Pal</t>
  </si>
  <si>
    <t>Pansuriya Jaynish Kalpesh</t>
  </si>
  <si>
    <t>Dave Ishika Ashvinbhai</t>
  </si>
  <si>
    <t>Gorasiya Ridham Maheshbhai</t>
  </si>
  <si>
    <t>BS</t>
  </si>
  <si>
    <t>BS1</t>
  </si>
  <si>
    <t>Malodiya Chintan Sanjaybhai</t>
  </si>
  <si>
    <t>Bhimani Mishri Dilpeshbhai</t>
  </si>
  <si>
    <t>Bhanderi Ruchi Vinodbhai</t>
  </si>
  <si>
    <t>Bhanderi Shakshi Jayeshbhai</t>
  </si>
  <si>
    <t>Bhut Bharvi Vipulbhai</t>
  </si>
  <si>
    <t>Gohel Shreya Hiteshbhai</t>
  </si>
  <si>
    <t>BY3</t>
  </si>
  <si>
    <t>Makwana Renish Dipakbhai</t>
  </si>
  <si>
    <t>Roshiya Rishit Pravinbhai</t>
  </si>
  <si>
    <t>Makavana Krishkumar Alpeshbhai</t>
  </si>
  <si>
    <t>Chaniyara Kinjal Bipinkumar</t>
  </si>
  <si>
    <t>Bagvan Aasif Lalmohmadbhai</t>
  </si>
  <si>
    <t>Kubavat Devkumar Sanjaybhai</t>
  </si>
  <si>
    <t>Vaishnani Darsh Kamleshbhai</t>
  </si>
  <si>
    <t>Gunga Abidali Jahidbhai</t>
  </si>
  <si>
    <t>Pankhaniya Prashant Durlabhbhai</t>
  </si>
  <si>
    <t>Kagathara Tirth Sanjaykumar</t>
  </si>
  <si>
    <t>Nimavat Vishwaraj Anirudhbhai</t>
  </si>
  <si>
    <t>Bhesadadiya Yashvi Maheshbhai</t>
  </si>
  <si>
    <t>Pankhania Karan Rajeshbhai</t>
  </si>
  <si>
    <t>Nakum Rajdeep Hiteshbhai</t>
  </si>
  <si>
    <t>Makwana Bhumiben Dipakbhai</t>
  </si>
  <si>
    <t>Prachi Chapla</t>
  </si>
  <si>
    <t>Savniya Khushi Kishorbhai</t>
  </si>
  <si>
    <t>Vyas Umang Dharmeshbhai</t>
  </si>
  <si>
    <t>Solanki Parth Bharatbhai</t>
  </si>
  <si>
    <t>Nakum Hardik Ranchhodbhai</t>
  </si>
  <si>
    <t>B.TECH. COMPUTER SCIENCE &amp; ENGINEERING SEMESTER - 5 ATTENDANCE REPORT</t>
  </si>
  <si>
    <t>Chikani Krish Dilipbhai</t>
  </si>
  <si>
    <t>Uchhadiya Isha Mukeshbhai</t>
  </si>
  <si>
    <t>Akabari Mohini Manishbhai</t>
  </si>
  <si>
    <t>Dodiya Kaushik Nareshbhai</t>
  </si>
  <si>
    <t>Limbasiya Kavybhai Vishalbhai</t>
  </si>
  <si>
    <t>Sanskruti Mehta</t>
  </si>
  <si>
    <t>Nakum Prince Bhagvanjibhai</t>
  </si>
  <si>
    <t>Anshul Bidhuri</t>
  </si>
  <si>
    <t>Babar Bhavy Sureshbhai</t>
  </si>
  <si>
    <t xml:space="preserve">B.TECH. COMPUTER ENGINEERING SEMESTER - 5 ATTENDANCE REPORT </t>
  </si>
  <si>
    <t>Baldha Tithi Chetanbhai</t>
  </si>
  <si>
    <t>5BX</t>
  </si>
  <si>
    <t>Bavirisetti Vijaya Vamsi</t>
  </si>
  <si>
    <t>Bhoraniya Nisha Mahmadhanifbhai</t>
  </si>
  <si>
    <t>Bhadresha Birva Manishbhai</t>
  </si>
  <si>
    <t>Bhalodiya Krinaben Rasikbhai</t>
  </si>
  <si>
    <t>Bhalodiya Sneh Vipulbhai</t>
  </si>
  <si>
    <t>Bhatt Nand Maheshbhai</t>
  </si>
  <si>
    <t>Bhuptani Viraj Nitinbhai</t>
  </si>
  <si>
    <t>Chabhadiya Abhi Arvindbhai</t>
  </si>
  <si>
    <t>Chauhan Krupali Hiren</t>
  </si>
  <si>
    <t>Changela Diya Jemishbhai</t>
  </si>
  <si>
    <t>Dave Parvaraj Mehulbhai</t>
  </si>
  <si>
    <t>Chavda Hina Kiritbhai</t>
  </si>
  <si>
    <t>Dev Atulbhai Dave</t>
  </si>
  <si>
    <t>Kalariya Yash Pravinbhai</t>
  </si>
  <si>
    <t>Dobariya Krish Jitendrabhai</t>
  </si>
  <si>
    <t>Koyani Foram Rajnikantbhai</t>
  </si>
  <si>
    <t>Dube Suraj Sanjaykumar</t>
  </si>
  <si>
    <t>Mor Fardin Rafikbhai</t>
  </si>
  <si>
    <t>Fultariya Herry Pravinbhai</t>
  </si>
  <si>
    <t>Mori Snehin Pratapbhai</t>
  </si>
  <si>
    <t>Gadhiya Preet Jigneshbhai</t>
  </si>
  <si>
    <t>Mundadiya Dharm Chandulal</t>
  </si>
  <si>
    <t>Gami Siddhi Rajeshbhai</t>
  </si>
  <si>
    <t>Ghatodiya Priyanshi Sureshbhai</t>
  </si>
  <si>
    <t>Mundadiya Rushikumar Anilbhai</t>
  </si>
  <si>
    <t>Gohel Darshan Ashvinkumar</t>
  </si>
  <si>
    <t>Paraliya Shaileshbhai Manishbhai</t>
  </si>
  <si>
    <t>Gupta Yashasvi Shriniraj</t>
  </si>
  <si>
    <t>Patoliya Harmi Prakashbhai</t>
  </si>
  <si>
    <t>Jadeja Omdevsinh Kirtisinh</t>
  </si>
  <si>
    <t>Raiyani Manali Rajnikantbhai</t>
  </si>
  <si>
    <t>Jadhav Siya Nitin</t>
  </si>
  <si>
    <t>Ruturaj Lakum</t>
  </si>
  <si>
    <t>Jadia Dev Jitenkumar</t>
  </si>
  <si>
    <t>Sardava Harshil Nileshbhai</t>
  </si>
  <si>
    <t>Jaimit Ashvin Solanki</t>
  </si>
  <si>
    <t>Thacker Khushi Darshanbhai</t>
  </si>
  <si>
    <t>Kasundra Hency Dineshbhai</t>
  </si>
  <si>
    <t>Kasundra Sumit Ashvinbhai</t>
  </si>
  <si>
    <t>Vansjaliya Krish Shashikantbhai</t>
  </si>
  <si>
    <t>Kolekar Kajal Prakashbhai</t>
  </si>
  <si>
    <t>Virani Diya Manishkumar</t>
  </si>
  <si>
    <t>Koradia Ansh</t>
  </si>
  <si>
    <t>Yashvi Patel</t>
  </si>
  <si>
    <t>Lalakiya Meet Kanjibhai</t>
  </si>
  <si>
    <t>Patel Dhrumil Dipakbhai</t>
  </si>
  <si>
    <t>Makwana Lalit Dhirubhai</t>
  </si>
  <si>
    <t>Bagda Kishan Kantibhai</t>
  </si>
  <si>
    <t>Makwana Palak Harshadbhai</t>
  </si>
  <si>
    <t>Bhalodiya Jay Maheshbhai</t>
  </si>
  <si>
    <t>Malaviya Hetalben Rajeshbhai</t>
  </si>
  <si>
    <t>Gamdha Dhruv Kiranbhai</t>
  </si>
  <si>
    <t>Mete Souvick Bimalbhai</t>
  </si>
  <si>
    <t>Gohel Krishn Mansukhbhai</t>
  </si>
  <si>
    <t>Padiya Harsh Mahendrabhai</t>
  </si>
  <si>
    <t>Panchal Nandaj Bharatbhai</t>
  </si>
  <si>
    <t>Gohil Jaiveersinh Amirajsinh</t>
  </si>
  <si>
    <t>Parekh Vrushti Jigneshbhai</t>
  </si>
  <si>
    <t>Gujarati Ronak Umeshbhai</t>
  </si>
  <si>
    <t>Pariya Amit Bhavanbhai</t>
  </si>
  <si>
    <t>Haripara Prushti Bharatbhai</t>
  </si>
  <si>
    <t>Patel Khushi Munesh</t>
  </si>
  <si>
    <t>Jotaniya Vaibhav Rajeshbhai</t>
  </si>
  <si>
    <t>Raiyani Hetvi Dilipbhai</t>
  </si>
  <si>
    <t>Kariya Aaditya Dineshbhai</t>
  </si>
  <si>
    <t>Ramoliya Roshni Jitendrabhai</t>
  </si>
  <si>
    <t>Rathod Manan Mayurbhai</t>
  </si>
  <si>
    <t>Liya Mayur Umeshkumar</t>
  </si>
  <si>
    <t>Raval Pratik Ghanshyambhai</t>
  </si>
  <si>
    <t>Makwana Dilipbhai Labhubhai</t>
  </si>
  <si>
    <t>Rughani Jwall Alpeshbhai</t>
  </si>
  <si>
    <t>Maru Harsh Nitendrabhai</t>
  </si>
  <si>
    <t>Sharma Priyanka Sunilkumar</t>
  </si>
  <si>
    <t>Mendapara Disha Rasiklal</t>
  </si>
  <si>
    <t>Sojitra Anand Vrundavanbhai</t>
  </si>
  <si>
    <t>Nakum Deep Hiteshbhai</t>
  </si>
  <si>
    <t>Solanki Naval Lakham</t>
  </si>
  <si>
    <t>Panasara Yashvi Bhavinbhai</t>
  </si>
  <si>
    <t>Tank Darsh Vijaybhai</t>
  </si>
  <si>
    <t>Pandya Hetang Miteshbhai</t>
  </si>
  <si>
    <t>Tanmay Hetal Gajjar</t>
  </si>
  <si>
    <t>Urvashi Sharadkumar</t>
  </si>
  <si>
    <t>Pandya Priyanshi Amitkumar</t>
  </si>
  <si>
    <t>Vaddoriya Smit Jayeshbhai</t>
  </si>
  <si>
    <t>Pandya Rudraksh Maheshbhai</t>
  </si>
  <si>
    <t>Vaghela Bhargav Dineshbhai</t>
  </si>
  <si>
    <t>Panjwani Neeshal Noorali</t>
  </si>
  <si>
    <t>Yashvi Khunt</t>
  </si>
  <si>
    <t>Parmar Kris Jagdishbhai</t>
  </si>
  <si>
    <t>Dharviya Suresh Vinodbhai</t>
  </si>
  <si>
    <t>Parmar Manan Arunbhai</t>
  </si>
  <si>
    <t>Parmar Himesh Ileshbhai</t>
  </si>
  <si>
    <t>Parmar Swyam Shantilal</t>
  </si>
  <si>
    <t>Bhavsar Astha Viralkumar</t>
  </si>
  <si>
    <t>Peshavariya Shyam Pareshbhai</t>
  </si>
  <si>
    <t>Pipaliya Jaan Nilesh</t>
  </si>
  <si>
    <t>Pipariya Sarjak</t>
  </si>
  <si>
    <t>Samiyani Varun Prakashbhai</t>
  </si>
  <si>
    <t>Sanchala Dhrumit Kundankumar</t>
  </si>
  <si>
    <t>Savani Sandip Parbatbhai</t>
  </si>
  <si>
    <t>Bhingradiya Pal Kiranbhai</t>
  </si>
  <si>
    <t>Shingrakhiya Roshni Rambhai</t>
  </si>
  <si>
    <t>Gamot Samir Altaf</t>
  </si>
  <si>
    <t>Vadgama Mohit Manishbhai</t>
  </si>
  <si>
    <t>Katariya Piyush Keshubhai</t>
  </si>
  <si>
    <t>Bhuva Kushal Hiteshbhai</t>
  </si>
  <si>
    <t>Namit Bharatbhai Khetia</t>
  </si>
  <si>
    <t>Paneliya Yug Bharatbhai</t>
  </si>
  <si>
    <t>5BY</t>
  </si>
  <si>
    <t>Rathod Jaydipkumar Bhikhabhai</t>
  </si>
  <si>
    <t>Rathod Vansh</t>
  </si>
  <si>
    <t>Vara Krupali Rajeshbhai</t>
  </si>
  <si>
    <t>Chotaliya Dixitkumar Vijaybhai</t>
  </si>
  <si>
    <t>Jeet Raithatha</t>
  </si>
  <si>
    <t>Aghera Bhoomi Maheshbhai</t>
  </si>
  <si>
    <t xml:space="preserve">B.TECH. COMPUTER SCIENCE &amp; ENGINEERING SEMESTER - 7 ATTENDANCE REPORT </t>
  </si>
  <si>
    <t>Atkotiya Hensi Jentibhai</t>
  </si>
  <si>
    <t>Anandkumar Trambadiya</t>
  </si>
  <si>
    <t>Babariya Meet Kishorbhai</t>
  </si>
  <si>
    <t>Bagathariya Tanisha Harishbhai</t>
  </si>
  <si>
    <t>Baraiya Ishaben Bhikhalal</t>
  </si>
  <si>
    <t>Borsania Dwija Nileshbhai</t>
  </si>
  <si>
    <t>Bosiya Jaydeep Ramjibhai</t>
  </si>
  <si>
    <t>Chatwani Krutarth Shaileshbhai</t>
  </si>
  <si>
    <t>Bhuva Prashant Narshibhai</t>
  </si>
  <si>
    <t>Chavda Ajaykumar Mansukhbhai</t>
  </si>
  <si>
    <t>Chokshi Heer Bhavin Bhai</t>
  </si>
  <si>
    <t>Cholera Rinav Nitinbhai</t>
  </si>
  <si>
    <t>Dave Bonisha Rajeshbhai</t>
  </si>
  <si>
    <t>Dabhi Chandresh Gunvantbhai</t>
  </si>
  <si>
    <t>Dhruvi Kachaliya</t>
  </si>
  <si>
    <t>Dabhi Nil Shaileshbhai</t>
  </si>
  <si>
    <t>Dobariya Vatsal Navnitbhai</t>
  </si>
  <si>
    <t>Daki Pinjalben Virambhai</t>
  </si>
  <si>
    <t>Pol Aryan Dilip</t>
  </si>
  <si>
    <t>Dalsaniya Rushil Babubhai</t>
  </si>
  <si>
    <t>Ravi Gehlot</t>
  </si>
  <si>
    <t>Sardhara Yug Rajeshbhai</t>
  </si>
  <si>
    <t>Dangar Mahek Sanjaybhai</t>
  </si>
  <si>
    <t>Savaliya Bhavy Ajaybhai</t>
  </si>
  <si>
    <t>Devmurari Astha Hemanshubhai</t>
  </si>
  <si>
    <t>Trivedi Nehal Ajaybhai</t>
  </si>
  <si>
    <t>Dudharejiya Vasu Chetanbhai</t>
  </si>
  <si>
    <t>Vansh Kapadiya</t>
  </si>
  <si>
    <t>Gagiya Dev Gabharubhai</t>
  </si>
  <si>
    <t>Vishal Kumar Jaiswal</t>
  </si>
  <si>
    <t>Ghonia Meera</t>
  </si>
  <si>
    <t>Vora Mahek Jagdishbhai</t>
  </si>
  <si>
    <t>Gondaliya Yesha Mukeshbhai</t>
  </si>
  <si>
    <t>Kaneriya Prit Pareshbhai</t>
  </si>
  <si>
    <t>Gunjariya Lisha Piyushbhai</t>
  </si>
  <si>
    <t>Mandviya Mrushik Gopalbhai</t>
  </si>
  <si>
    <t>Hirpara Rishikumar Piyushkumar</t>
  </si>
  <si>
    <t>Odedara Urvi Jayendrabhai</t>
  </si>
  <si>
    <t>Jadeja Priyankaba Jitendra Sinh</t>
  </si>
  <si>
    <t>Patoriya Dhruvik Pravinbhai</t>
  </si>
  <si>
    <t>Jamnani Prem Prakashbhai</t>
  </si>
  <si>
    <t>Parmar Sneha Mahendrabhai</t>
  </si>
  <si>
    <t>Joshi Dhairaya Vipulbhai</t>
  </si>
  <si>
    <t>Chhatbar Abhishek Brijeshbhai</t>
  </si>
  <si>
    <t>Joshi Nikhil Pramodbhai</t>
  </si>
  <si>
    <t>Kandoliya Dhruvi Umeshbhai</t>
  </si>
  <si>
    <t>Kapadi Pavan Rajeshbhai</t>
  </si>
  <si>
    <t>Kapasi Husen Jujarbhai</t>
  </si>
  <si>
    <t>Kareliya Bhakti Piyushbhai</t>
  </si>
  <si>
    <t>Kasundra Yashvi Vinodbhai</t>
  </si>
  <si>
    <t>Fenil Mulani</t>
  </si>
  <si>
    <t>Ker Hetal Harbhambha</t>
  </si>
  <si>
    <t>Gondaliya Parthkumar Hareshbhai</t>
  </si>
  <si>
    <t>Koshiya Keval Hasmukhbhai</t>
  </si>
  <si>
    <t>Rojasara Vishalbhai Dipakbhai</t>
  </si>
  <si>
    <t>Kotadiya Karan Bhaveshbhai</t>
  </si>
  <si>
    <t>Sanepara Abhi Rajeshbhai</t>
  </si>
  <si>
    <t>Kotecha Himani Samirbhai</t>
  </si>
  <si>
    <t>Trivedi Dakshbhai Piyushbhai</t>
  </si>
  <si>
    <t>Nathani Astha Mukeshbhai</t>
  </si>
  <si>
    <t>Kotecha Honey Piyushbhai</t>
  </si>
  <si>
    <t>Lagdhir Parth Lalji</t>
  </si>
  <si>
    <t>Makvana Bhavishya Sureshbhai</t>
  </si>
  <si>
    <t>Makwana Miteshkumar Satishkumar</t>
  </si>
  <si>
    <t>Mehta Kirtan Anilbhai</t>
  </si>
  <si>
    <t>Modhavadiya Krishna Rambhai</t>
  </si>
  <si>
    <t>Modhvadiya Tanvi Dilipbhai</t>
  </si>
  <si>
    <t>Nakum Avinash Jaysukhbhai</t>
  </si>
  <si>
    <t>Navar Jatin Jesingbhai</t>
  </si>
  <si>
    <t>Padaliya Darshana Rameshbhai</t>
  </si>
  <si>
    <t>Padia Mann Jagdishbhai</t>
  </si>
  <si>
    <t>Panara Mayankkumar</t>
  </si>
  <si>
    <t>Pansuriya Smit Ashvinbhai</t>
  </si>
  <si>
    <t>Prerak Patadia</t>
  </si>
  <si>
    <t>Rajkotiya Mahmadrehan Abdulgani</t>
  </si>
  <si>
    <t>Rakholiya Parin Hiteshbhai</t>
  </si>
  <si>
    <t>Rathod Ashvini Rajeshbhai</t>
  </si>
  <si>
    <t>Rathod Dhara Khimajibhai</t>
  </si>
  <si>
    <t>Rathod Krisha Pareshbhai</t>
  </si>
  <si>
    <t>Ravrani Bhoomi Kamleshbhai</t>
  </si>
  <si>
    <t>Riya Kyada</t>
  </si>
  <si>
    <t>Sardhara Nandani Sanjaybhai</t>
  </si>
  <si>
    <t>Sarvaiya Mansi Bhadreshbhai</t>
  </si>
  <si>
    <t>Shiyar Milan Dhanabhai</t>
  </si>
  <si>
    <t>Singarakhiya Khushi Harkeshbhai</t>
  </si>
  <si>
    <t>Sojitra Varshil Manishbhai</t>
  </si>
  <si>
    <t>Suhani Patel</t>
  </si>
  <si>
    <t>Tarpara Pratixa Kishorbhai</t>
  </si>
  <si>
    <t>Thaker Hemani Milanbhai</t>
  </si>
  <si>
    <t>Ujjainwala Abdulhussain Hussainbhai</t>
  </si>
  <si>
    <t>Vachhani Rushikumar Ashokbhai</t>
  </si>
  <si>
    <t>Vagadiya Palak Dineshbhai</t>
  </si>
  <si>
    <t>Vasoya Rutvik Vrajlal</t>
  </si>
  <si>
    <t>Virpariya Dhruvi Shaileshbhai</t>
  </si>
  <si>
    <t>Yusufjai Armankhan Ilyaskhan</t>
  </si>
  <si>
    <t>Zala Priyanka Laxmansinh</t>
  </si>
  <si>
    <t>Zalriya Ayushiben Ashvinbhai</t>
  </si>
  <si>
    <t>Badi Aessarraja Mahamadhanifbhai</t>
  </si>
  <si>
    <t>Chauhan Sachin Kanjibhai</t>
  </si>
  <si>
    <t>Jadeja Krishnadeepsinh Nirmalsinh</t>
  </si>
  <si>
    <t>Joshi Harshil Hirenkumar</t>
  </si>
  <si>
    <t>Kanaiya Pratham Hardikbhai</t>
  </si>
  <si>
    <t>BV</t>
  </si>
  <si>
    <t>BV1</t>
  </si>
  <si>
    <t>Kandia Rehan Rafikbhai</t>
  </si>
  <si>
    <t>Kharsani Hitesh Ashokbhai</t>
  </si>
  <si>
    <t>Kholiya Harshil Nayneshbhai</t>
  </si>
  <si>
    <t>Koyaliwala Mahek</t>
  </si>
  <si>
    <t>Krishnakant Harishchandra Joshi</t>
  </si>
  <si>
    <t>Marvaniya Utsav Sureshbhai</t>
  </si>
  <si>
    <t>Mathakiya Mohammadshan Makbulbhai</t>
  </si>
  <si>
    <t>Parekh Ritesh Rajeshkumar</t>
  </si>
  <si>
    <t>Rathod Dhrumilsinh Prashantbhai</t>
  </si>
  <si>
    <t>Rathod Tirth Mahendrabhai</t>
  </si>
  <si>
    <t>Sakariya Dhruv Ajaybhai</t>
  </si>
  <si>
    <t>Solanki Maitry Vipulkumar</t>
  </si>
  <si>
    <t>Vamaja Dhruvi Nanjibhai</t>
  </si>
  <si>
    <t>Vanjani Om Shreechand</t>
  </si>
  <si>
    <t>Vara Harsh Mahendrabhai</t>
  </si>
  <si>
    <t>Vara Smit Dineshbhai</t>
  </si>
  <si>
    <t>Vasoya Manthan Dilipbhai</t>
  </si>
  <si>
    <t>Vikani Khushi Vipulbhai</t>
  </si>
  <si>
    <t>Vora Krish Shaileshbhai</t>
  </si>
  <si>
    <t>Pansuriya Sujal Jitendrabhai</t>
  </si>
  <si>
    <t>Sabhaya Harsh Harsukhbhai</t>
  </si>
  <si>
    <t xml:space="preserve">B.TECH. COMPUTER ENGINEERING SEMESTER - 7 ATTENDANCE REPORT </t>
  </si>
  <si>
    <t>BX</t>
  </si>
  <si>
    <t>Bx1</t>
  </si>
  <si>
    <t>Ambechada Sureshkumar Amubhai</t>
  </si>
  <si>
    <t>Bambhroliya Dip Ketanbhai</t>
  </si>
  <si>
    <t>Bariya Tejas Vejabhai</t>
  </si>
  <si>
    <t>Bera Sneh Vrujlal</t>
  </si>
  <si>
    <t>Bhalodiya Om Nilesh</t>
  </si>
  <si>
    <t>Bhanderi Harsh Dineshbhai</t>
  </si>
  <si>
    <t>Bhatt Uday Devrambhai</t>
  </si>
  <si>
    <t>Bhimajiyani Priyanshi Mukeshbhai</t>
  </si>
  <si>
    <t>Bhut Mann Pareshbhai</t>
  </si>
  <si>
    <t>Borad Marshal Ashokbhai</t>
  </si>
  <si>
    <t>Bosariya Suresh Nagji</t>
  </si>
  <si>
    <t>Chudasama Vishvajitsinh Surendrasinh</t>
  </si>
  <si>
    <t>Dhakan Bharvi Nileshbhai</t>
  </si>
  <si>
    <t>Dixita Balapuriya</t>
  </si>
  <si>
    <t>Domadiya Piyush Nileshbhai</t>
  </si>
  <si>
    <t>Duarte Francescopaul Cedric</t>
  </si>
  <si>
    <t>Faldu Jaimin Sanjaybhai</t>
  </si>
  <si>
    <t>Gangera Divyam Bharatbhai</t>
  </si>
  <si>
    <t>Ghelani Kenil Arvindbhai</t>
  </si>
  <si>
    <t>Hadiyal Mehul Dilipbhai</t>
  </si>
  <si>
    <t>Hemanshu Kumar</t>
  </si>
  <si>
    <t>Jani Krish Pankajbhai</t>
  </si>
  <si>
    <t>Janjrukiya Hastiben Mukeshbhai</t>
  </si>
  <si>
    <t>Joshi Harshit Pankajbhai</t>
  </si>
  <si>
    <t>Kacha Aryan Bharatbhai</t>
  </si>
  <si>
    <t>Kachawala Mustafa Mohammadbhai</t>
  </si>
  <si>
    <t>Kalp Pankaj Mehta</t>
  </si>
  <si>
    <t>Kansagra Jil Dineshbhai</t>
  </si>
  <si>
    <t>Kansagra Krish Kantibhai</t>
  </si>
  <si>
    <t>Karavadara Vishal Khimanbhai</t>
  </si>
  <si>
    <t>Kothiya Rudrakumar Kanaiyalal</t>
  </si>
  <si>
    <t>Krish Gondaliya</t>
  </si>
  <si>
    <t>Makwana Kushalbhai Rajendrabhai</t>
  </si>
  <si>
    <t>Mashroo Parth Amitkumar</t>
  </si>
  <si>
    <t>Nair Rohan Ramesh</t>
  </si>
  <si>
    <t>Bx2</t>
  </si>
  <si>
    <t>Oza Kunjan Chaitanyabhai</t>
  </si>
  <si>
    <t>Parmar Bhuresh Mukeshbhai</t>
  </si>
  <si>
    <t>Ranchh Divya Ashokkumar</t>
  </si>
  <si>
    <t>Rathod Foram Pareshbhai</t>
  </si>
  <si>
    <t>Savaliya Rutvikbhai Arvindbhai</t>
  </si>
  <si>
    <t>Sidapra Drashti Sanjaybhai</t>
  </si>
  <si>
    <t>Sindha Miteshkumar Jayvantsinh</t>
  </si>
  <si>
    <t>Sorathiya Mit Mukeshbhai</t>
  </si>
  <si>
    <t>Talpada Priyanshi Kishorbhai</t>
  </si>
  <si>
    <t>Tank Raj Rameshbhai</t>
  </si>
  <si>
    <t>Viradia Kishan Hareshbhai</t>
  </si>
  <si>
    <t>Vora Harikrishna Sanjaybhai</t>
  </si>
  <si>
    <t>Bhoraniya Ishitkumar Jitendrabhai</t>
  </si>
  <si>
    <t>Dharsandia Krishna Nileshkumar</t>
  </si>
  <si>
    <t>Dhruv Hiteshbhai Vyas</t>
  </si>
  <si>
    <t>Gohil Dev Aniruddhsinh</t>
  </si>
  <si>
    <t>Jasani Darshan Ketanbhai</t>
  </si>
  <si>
    <t>Jay Jobanputra</t>
  </si>
  <si>
    <t>Kotecha Heer Ketanbhai</t>
  </si>
  <si>
    <t>Kukadiya Dharmik Miteshbhai</t>
  </si>
  <si>
    <t>Machchhar Umang Manishbhai</t>
  </si>
  <si>
    <t>Mahida Jagdishkumar Govindbhai</t>
  </si>
  <si>
    <t>Patel Dhruv Jayesh</t>
  </si>
  <si>
    <t>Rathod Mayur Maheshbhai</t>
  </si>
  <si>
    <t>Sheikh Mashukali Fazrul</t>
  </si>
  <si>
    <t>Shukla Isha Ravibhai</t>
  </si>
  <si>
    <t>Lalani Bhargav Harshadbhai</t>
  </si>
  <si>
    <t>BY</t>
  </si>
  <si>
    <t>By1</t>
  </si>
  <si>
    <t>Badokhariya Poonam Rameshbhai</t>
  </si>
  <si>
    <t>Bandhiya Nipal Karabhai</t>
  </si>
  <si>
    <t>Bhut Shreya Rameshbhai</t>
  </si>
  <si>
    <t>Chavada Shitalben Jagdishbhai</t>
  </si>
  <si>
    <t>Chavda Rohan Bhupatbhai</t>
  </si>
  <si>
    <t>Gami Kavy Rajubhai</t>
  </si>
  <si>
    <t>Kairavi Patel</t>
  </si>
  <si>
    <t>Koriya Dipen Kamleshbhai</t>
  </si>
  <si>
    <t>Limbasiya Rushi Harsukhbhai</t>
  </si>
  <si>
    <t>Maheshwari Zeel Ghanshyam</t>
  </si>
  <si>
    <t>Marvaniya Misri Jayeshbhai</t>
  </si>
  <si>
    <t>Padaliya Jeshi Jigneshkumar</t>
  </si>
  <si>
    <t>Padaliya Khushi Jigneshkumar</t>
  </si>
  <si>
    <t>Parmar Gaurav Devshibhai</t>
  </si>
  <si>
    <t>Patel Devangkumar Ashishkumar</t>
  </si>
  <si>
    <t>Pedhadiya Het Dhirajlal</t>
  </si>
  <si>
    <t>Ramodiya Rehan Riyazbhai</t>
  </si>
  <si>
    <t>Rathod Vaishali Pravinbhai</t>
  </si>
  <si>
    <t>Sankaliya Vivek Himmatbhai</t>
  </si>
  <si>
    <t>Sankruti Jadav</t>
  </si>
  <si>
    <t>Satodiya Yash Jayantibhai</t>
  </si>
  <si>
    <t>Sherathiya Janvi Prakashbhai</t>
  </si>
  <si>
    <t>Sojitra Granthi Naranbhai</t>
  </si>
  <si>
    <t>Sorathiya Nimit Vitthalbhai</t>
  </si>
  <si>
    <t>Tank Rasmit Jagdishbhai</t>
  </si>
  <si>
    <t>Vachhani Khilanbhai Ashokbhai</t>
  </si>
  <si>
    <t>Vadgama Harsh Rupeshbhai</t>
  </si>
  <si>
    <t>Vaghela Dharaben Mukeshbhai</t>
  </si>
  <si>
    <t>Vanpariya Mit Jineshbhai</t>
  </si>
  <si>
    <t>Vasoya Ravi Vijaybhai</t>
  </si>
  <si>
    <t>Vyas Jenil Shaileshbhai</t>
  </si>
  <si>
    <t>By2</t>
  </si>
  <si>
    <t>Zulasana Dishaben Mahendrabhai</t>
  </si>
  <si>
    <t>Bhaliya Dhruvil Kishorbhai</t>
  </si>
  <si>
    <t>Bhalodiya Yash Amrut</t>
  </si>
  <si>
    <t>Chandarana Aum Jayeshbhai</t>
  </si>
  <si>
    <t>Chauhan Pushkar Jayeshkumar</t>
  </si>
  <si>
    <t>Chavda Viraj Hiteshbhai</t>
  </si>
  <si>
    <t>Devaliya Jenish Ketanbhai</t>
  </si>
  <si>
    <t>Dhameshiya Het Hasmukhbhai</t>
  </si>
  <si>
    <t>Dhameshiya Vikesh Bhaveshbhai</t>
  </si>
  <si>
    <t>Dodiya Vihit Jayeshbhai</t>
  </si>
  <si>
    <t>Gadhiya Vatsa Dipakbhai</t>
  </si>
  <si>
    <t>Gandhi Prayag Jinesh</t>
  </si>
  <si>
    <t>Gohil Priyanshi Riddhishkumar</t>
  </si>
  <si>
    <t>Goswami Deep Himanshugiri</t>
  </si>
  <si>
    <t>Hamdan Fiza Iliyaz</t>
  </si>
  <si>
    <t>Harnesha Hitarth Samirbhai</t>
  </si>
  <si>
    <t>Helaiya Nidhi Rameshbhai</t>
  </si>
  <si>
    <t>Jadav Aayush Hitendrabhai</t>
  </si>
  <si>
    <t>Kalkani Neel Ashvinbhai</t>
  </si>
  <si>
    <t>Kandoliya Devanxi Chetankumar</t>
  </si>
  <si>
    <t>Kesariya Julie Maheshbhai</t>
  </si>
  <si>
    <t>Kukadiya Janki Narendrabhai</t>
  </si>
  <si>
    <t>Kyada Savan Manjibhai</t>
  </si>
  <si>
    <t>Lakhtaria Priyesha Amit</t>
  </si>
  <si>
    <t>Makadiya Dev</t>
  </si>
  <si>
    <t>Man</t>
  </si>
  <si>
    <t>Modha Priya Vinodkumar</t>
  </si>
  <si>
    <t>Nadiyapara Umang Damjibhai</t>
  </si>
  <si>
    <t>Nanavati Disha Nimishbhai</t>
  </si>
  <si>
    <t>Parmar Manshukh Devjibhai</t>
  </si>
  <si>
    <t>Patel Kanj Dharmendra</t>
  </si>
  <si>
    <t>Patel Nandish Bharatkumar</t>
  </si>
  <si>
    <t>Pithva Nishtha Prakashbhai</t>
  </si>
  <si>
    <t>Rakhshiya Pritiben Babubhai</t>
  </si>
  <si>
    <t>Rathod Devangee Bharatbhai</t>
  </si>
  <si>
    <t>Rathod Jaypalsinh Balvantsinh</t>
  </si>
  <si>
    <t>Sangani Dhruv Krushnadas</t>
  </si>
  <si>
    <t>Vadgama Jemin Kailash</t>
  </si>
  <si>
    <t>Vadoliya Digjay Rajeshbhai</t>
  </si>
  <si>
    <t>Yadav Jay Vinaychandra</t>
  </si>
  <si>
    <t>Faldu Aryan Mansukhbhai</t>
  </si>
  <si>
    <t>Vekariya Prit Nileshbhai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</si>
</sst>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4.0"/>
      <color theme="1"/>
      <name val="Calibri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333333"/>
      <name val="Calibri"/>
    </font>
    <font>
      <color rgb="FF000000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3.0"/>
      <color theme="1"/>
      <name val="Calibri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thin">
        <color rgb="FF000000"/>
      </top>
      <bottom style="thin">
        <color rgb="FF000000"/>
      </bottom>
    </border>
    <border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top style="thin">
        <color rgb="FF000000"/>
      </top>
      <bottom style="medium">
        <color rgb="FFCCCCCC"/>
      </bottom>
    </border>
    <border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wrapText="1"/>
    </xf>
    <xf borderId="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2" fontId="4" numFmtId="0" xfId="0" applyAlignment="1" applyBorder="1" applyFill="1" applyFont="1">
      <alignment vertical="bottom"/>
    </xf>
    <xf borderId="15" fillId="0" fontId="2" numFmtId="0" xfId="0" applyBorder="1" applyFont="1"/>
    <xf borderId="14" fillId="2" fontId="4" numFmtId="0" xfId="0" applyAlignment="1" applyBorder="1" applyFill="1" applyFont="1">
      <alignment horizontal="center" vertical="center"/>
    </xf>
    <xf borderId="14" fillId="2" fontId="5" numFmtId="0" xfId="0" applyAlignment="1" applyBorder="1" applyFill="1" applyFont="1">
      <alignment horizontal="center" vertical="bottom"/>
    </xf>
    <xf borderId="14" fillId="2" fontId="5" numFmtId="0" xfId="0" applyAlignment="1" applyBorder="1" applyFill="1" applyFont="1">
      <alignment horizontal="center" vertical="center"/>
    </xf>
    <xf borderId="14" fillId="2" fontId="5" numFmtId="0" xfId="0" applyAlignment="1" applyBorder="1" applyFill="1" applyFont="1">
      <alignment horizontal="center" vertical="center"/>
    </xf>
    <xf borderId="14" fillId="2" fontId="5" numFmtId="0" xfId="0" applyAlignment="1" applyBorder="1" applyFill="1" applyFont="1">
      <alignment horizontal="center" readingOrder="0" vertical="bottom"/>
    </xf>
    <xf borderId="14" fillId="2" fontId="5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center"/>
    </xf>
    <xf borderId="14" fillId="2" fontId="5" numFmtId="0" xfId="0" applyAlignment="1" applyBorder="1" applyFill="1" applyFont="1">
      <alignment horizontal="center" shrinkToFit="0" wrapText="1"/>
    </xf>
    <xf borderId="14" fillId="2" fontId="5" numFmtId="0" xfId="0" applyAlignment="1" applyBorder="1" applyFill="1" applyFont="1">
      <alignment horizontal="center" shrinkToFit="0" vertical="center" wrapText="1"/>
    </xf>
    <xf borderId="14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ill="1" applyFont="1">
      <alignment horizontal="center"/>
    </xf>
    <xf borderId="14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wrapText="1"/>
    </xf>
    <xf borderId="14" fillId="0" fontId="4" numFmtId="0" xfId="0" applyAlignment="1" applyBorder="1" applyFont="1">
      <alignment shrinkToFit="0" wrapText="1"/>
    </xf>
    <xf borderId="14" fillId="0" fontId="3" numFmtId="0" xfId="0" applyAlignment="1" applyBorder="1" applyFont="1">
      <alignment horizontal="center" shrinkToFit="0" vertical="center" wrapText="1"/>
    </xf>
    <xf borderId="14" fillId="3" fontId="6" numFmtId="10" xfId="0" applyAlignment="1" applyBorder="1" applyFill="1" applyFont="1" applyNumberFormat="1">
      <alignment horizontal="center" readingOrder="0"/>
    </xf>
    <xf borderId="14" fillId="3" fontId="6" numFmtId="10" xfId="0" applyAlignment="1" applyBorder="1" applyFill="1" applyFont="1" applyNumberFormat="1">
      <alignment horizontal="center" readingOrder="0" vertical="center"/>
    </xf>
    <xf borderId="14" fillId="3" fontId="6" numFmtId="0" xfId="0" applyAlignment="1" applyBorder="1" applyFill="1" applyFont="1">
      <alignment horizontal="center" readingOrder="0" vertical="center"/>
    </xf>
    <xf borderId="14" fillId="3" fontId="6" numFmtId="0" xfId="0" applyAlignment="1" applyBorder="1" applyFill="1" applyFont="1">
      <alignment horizontal="center" readingOrder="0"/>
    </xf>
    <xf borderId="14" fillId="3" fontId="7" numFmtId="10" xfId="0" applyAlignment="1" applyBorder="1" applyFill="1" applyFont="1" applyNumberFormat="1">
      <alignment horizontal="center" readingOrder="0" vertical="center"/>
    </xf>
    <xf borderId="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10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left" readingOrder="0"/>
    </xf>
    <xf borderId="1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14" fillId="4" fontId="8" numFmtId="0" xfId="0" applyAlignment="1" applyBorder="1" applyFill="1" applyFont="1">
      <alignment horizontal="center" shrinkToFit="0" vertical="center" wrapText="1"/>
    </xf>
    <xf borderId="14" fillId="5" fontId="4" numFmtId="0" xfId="0" applyAlignment="1" applyBorder="1" applyFill="1" applyFont="1">
      <alignment horizontal="center" shrinkToFit="0" vertical="center" wrapText="1"/>
    </xf>
    <xf borderId="14" fillId="6" fontId="6" numFmtId="10" xfId="0" applyAlignment="1" applyBorder="1" applyFill="1" applyFont="1" applyNumberFormat="1">
      <alignment horizontal="center" readingOrder="0"/>
    </xf>
    <xf borderId="14" fillId="3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wrapText="1"/>
    </xf>
    <xf borderId="17" fillId="0" fontId="1" numFmtId="0" xfId="0" applyAlignment="1" applyBorder="1" applyFont="1">
      <alignment horizontal="center" shrinkToFit="0" wrapText="1"/>
    </xf>
    <xf borderId="18" fillId="0" fontId="1" numFmtId="0" xfId="0" applyAlignment="1" applyBorder="1" applyFont="1">
      <alignment horizontal="center" shrinkToFit="0" wrapText="1"/>
    </xf>
    <xf borderId="18" fillId="0" fontId="9" numFmtId="10" xfId="0" applyAlignment="1" applyBorder="1" applyFont="1" applyNumberFormat="1">
      <alignment horizontal="center" shrinkToFit="0" wrapText="1"/>
    </xf>
    <xf borderId="14" fillId="5" fontId="8" numFmtId="0" xfId="0" applyAlignment="1" applyBorder="1" applyFill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wrapText="1"/>
    </xf>
    <xf borderId="20" fillId="0" fontId="2" numFmtId="0" xfId="0" applyBorder="1" applyFont="1"/>
    <xf borderId="20" fillId="0" fontId="1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horizontal="center" shrinkToFit="0" wrapText="1"/>
    </xf>
    <xf borderId="22" fillId="2" fontId="5" numFmtId="0" xfId="0" applyAlignment="1" applyBorder="1" applyFill="1" applyFont="1">
      <alignment horizontal="center" shrinkToFit="0" wrapText="1"/>
    </xf>
    <xf borderId="22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9" numFmtId="10" xfId="0" applyAlignment="1" applyBorder="1" applyFont="1" applyNumberForma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wrapText="1"/>
    </xf>
    <xf borderId="18" fillId="0" fontId="1" numFmtId="0" xfId="0" applyAlignment="1" applyBorder="1" applyFont="1">
      <alignment horizontal="center" readingOrder="0" shrinkToFit="0" wrapText="1"/>
    </xf>
    <xf borderId="18" fillId="0" fontId="9" numFmtId="10" xfId="0" applyAlignment="1" applyBorder="1" applyFont="1" applyNumberFormat="1">
      <alignment horizontal="center" readingOrder="0" shrinkToFit="0" wrapText="1"/>
    </xf>
    <xf borderId="19" fillId="0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horizontal="center" readingOrder="0" shrinkToFit="0" wrapText="1"/>
    </xf>
    <xf borderId="21" fillId="0" fontId="1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shrinkToFit="0" wrapText="1"/>
    </xf>
    <xf borderId="16" fillId="0" fontId="11" numFmtId="10" xfId="0" applyAlignment="1" applyBorder="1" applyFont="1" applyNumberFormat="1">
      <alignment shrinkToFit="0" wrapText="1"/>
    </xf>
    <xf borderId="0" fillId="0" fontId="4" numFmtId="0" xfId="0" applyAlignment="1" applyFont="1">
      <alignment shrinkToFit="0" vertical="center" wrapText="1"/>
    </xf>
    <xf borderId="14" fillId="0" fontId="3" numFmtId="10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6" fillId="0" fontId="11" numFmtId="10" xfId="0" applyAlignment="1" applyBorder="1" applyFont="1" applyNumberForma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31" width="9.14"/>
  </cols>
  <sheetData>
    <row r="1" ht="19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9.5" customHeight="1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19.5" customHeight="1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6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19.5" customHeight="1">
      <c r="A4" s="13" t="s">
        <v>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21">
        <v>1.0</v>
      </c>
      <c r="M5" s="21">
        <v>1.0</v>
      </c>
      <c r="N5" s="21">
        <v>1.0</v>
      </c>
      <c r="O5" s="21">
        <v>1.0</v>
      </c>
      <c r="P5" s="21">
        <v>1.0</v>
      </c>
      <c r="Q5" s="21">
        <v>1.0</v>
      </c>
      <c r="R5" s="21">
        <v>1.0</v>
      </c>
      <c r="S5" s="21">
        <v>1.0</v>
      </c>
      <c r="T5" s="23">
        <v>1.0</v>
      </c>
      <c r="U5" s="23">
        <v>1.0</v>
      </c>
      <c r="V5" s="21">
        <v>0.0</v>
      </c>
      <c r="W5" s="21">
        <v>0.0</v>
      </c>
      <c r="X5" s="21">
        <v>0.0</v>
      </c>
      <c r="Y5" s="20">
        <v>0.0</v>
      </c>
      <c r="Z5" s="20">
        <v>0.0</v>
      </c>
      <c r="AA5" s="25"/>
      <c r="AB5" s="27"/>
      <c r="AC5" s="27"/>
      <c r="AD5" s="27"/>
      <c r="AE5" s="27"/>
    </row>
    <row r="6">
      <c r="A6" s="29" t="s">
        <v>6</v>
      </c>
      <c r="B6" s="29" t="s">
        <v>7</v>
      </c>
      <c r="C6" s="29" t="s">
        <v>8</v>
      </c>
      <c r="D6" s="29" t="s">
        <v>9</v>
      </c>
      <c r="E6" s="29" t="s">
        <v>10</v>
      </c>
      <c r="F6" s="29" t="s">
        <v>11</v>
      </c>
      <c r="G6" s="31" t="s">
        <v>12</v>
      </c>
      <c r="H6" s="33" t="s">
        <v>13</v>
      </c>
      <c r="I6" s="33" t="s">
        <v>14</v>
      </c>
      <c r="J6" s="33" t="s">
        <v>15</v>
      </c>
      <c r="K6" s="33" t="s">
        <v>16</v>
      </c>
      <c r="L6" s="20" t="s">
        <v>17</v>
      </c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0" t="s">
        <v>25</v>
      </c>
      <c r="U6" s="20" t="s">
        <v>26</v>
      </c>
      <c r="V6" s="20" t="s">
        <v>27</v>
      </c>
      <c r="W6" s="20" t="s">
        <v>28</v>
      </c>
      <c r="X6" s="20" t="s">
        <v>29</v>
      </c>
      <c r="Y6" s="20" t="s">
        <v>30</v>
      </c>
      <c r="Z6" s="20" t="s">
        <v>31</v>
      </c>
      <c r="AA6" s="25"/>
      <c r="AB6" s="27"/>
      <c r="AC6" s="27"/>
      <c r="AD6" s="27"/>
      <c r="AE6" s="27"/>
    </row>
    <row r="7">
      <c r="A7" s="36" t="s">
        <v>33</v>
      </c>
      <c r="B7" s="36" t="s">
        <v>36</v>
      </c>
      <c r="C7" s="36">
        <v>1.0</v>
      </c>
      <c r="D7" s="36">
        <v>1.5110625023E10</v>
      </c>
      <c r="E7" s="36">
        <v>2.50002001E8</v>
      </c>
      <c r="F7" s="36" t="s">
        <v>37</v>
      </c>
      <c r="G7" s="40" t="str">
        <f t="shared" ref="G7:G90" si="1">IF(H7&gt;=0,"OK",IF(K7&gt;=J7,"Completed","Pending"))</f>
        <v>OK</v>
      </c>
      <c r="H7" s="40">
        <f t="shared" ref="H7:H90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19</v>
      </c>
      <c r="I7" s="40">
        <f t="shared" ref="I7:I90" si="3">round(30*((L7*$L$5)+(M7*$M$5)+(N7*$N$5)+(O7*$O$5)+(P7*$P$5)+(Q7*$Q$5)+(R7*$R$5)+(S7*$S$5)+(T7*$T$5)+(U7*$U$5)+(V7*$V$5)+(W7*$W$5)+(X7*$X$5)+(Y7*$Y$5)+(Z7*$Z$5)+(AA7*$AA$5)),0)</f>
        <v>296</v>
      </c>
      <c r="J7" s="40">
        <f t="shared" ref="J7:J90" si="4">if(I7&lt;(24*($L$5+$M$5+$N$5+$O$5+$P$5+$Q$5+$R$5+$S$5+$T$5+$V$5+$U$5+$W$5+$X$5+$Y$5+$Z$5+$AA$5)),abs(I7-(24*($L$5+$M$5+$N$5+$O$5+$P$5+$Q$5+$R$5+$S$5+$T$5+$V$5+$U$5+$W$5+$X$5+$Y$5+$Z$5+$AA$5))),0)</f>
        <v>0</v>
      </c>
      <c r="K7" s="40"/>
      <c r="L7" s="42">
        <v>1.0</v>
      </c>
      <c r="M7" s="42">
        <v>1.0</v>
      </c>
      <c r="N7" s="42">
        <v>1.0</v>
      </c>
      <c r="O7" s="45">
        <v>1.0</v>
      </c>
      <c r="P7" s="42">
        <v>1.0</v>
      </c>
      <c r="Q7" s="42">
        <v>1.0</v>
      </c>
      <c r="R7" s="42">
        <v>0.8571</v>
      </c>
      <c r="S7" s="42">
        <v>1.0</v>
      </c>
      <c r="T7" s="41">
        <v>1.0</v>
      </c>
      <c r="U7" s="41">
        <v>1.0</v>
      </c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36" t="s">
        <v>33</v>
      </c>
      <c r="B8" s="36" t="s">
        <v>36</v>
      </c>
      <c r="C8" s="36">
        <v>2.0</v>
      </c>
      <c r="D8" s="36">
        <v>1.5110625062E10</v>
      </c>
      <c r="E8" s="36">
        <v>2.50002002E8</v>
      </c>
      <c r="F8" s="36" t="s">
        <v>42</v>
      </c>
      <c r="G8" s="40" t="str">
        <f t="shared" si="1"/>
        <v>OK</v>
      </c>
      <c r="H8" s="40">
        <f t="shared" si="2"/>
        <v>3</v>
      </c>
      <c r="I8" s="40">
        <f t="shared" si="3"/>
        <v>248</v>
      </c>
      <c r="J8" s="40">
        <f t="shared" si="4"/>
        <v>0</v>
      </c>
      <c r="K8" s="40"/>
      <c r="L8" s="42">
        <v>0.8095</v>
      </c>
      <c r="M8" s="42">
        <v>0.8235</v>
      </c>
      <c r="N8" s="42">
        <v>0.8571</v>
      </c>
      <c r="O8" s="45">
        <v>0.9048</v>
      </c>
      <c r="P8" s="42">
        <v>0.7619</v>
      </c>
      <c r="Q8" s="42">
        <v>0.9524</v>
      </c>
      <c r="R8" s="42">
        <v>0.7619</v>
      </c>
      <c r="S8" s="42">
        <v>0.8095</v>
      </c>
      <c r="T8" s="41">
        <v>0.7143</v>
      </c>
      <c r="U8" s="41">
        <v>0.8571</v>
      </c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36" t="s">
        <v>33</v>
      </c>
      <c r="B9" s="36" t="s">
        <v>36</v>
      </c>
      <c r="C9" s="36">
        <v>3.0</v>
      </c>
      <c r="D9" s="36">
        <v>1.5110625121E10</v>
      </c>
      <c r="E9" s="36">
        <v>2.50002003E8</v>
      </c>
      <c r="F9" s="36" t="s">
        <v>45</v>
      </c>
      <c r="G9" s="40" t="str">
        <f t="shared" si="1"/>
        <v>Pending</v>
      </c>
      <c r="H9" s="40">
        <f t="shared" si="2"/>
        <v>-3</v>
      </c>
      <c r="I9" s="40">
        <f t="shared" si="3"/>
        <v>231</v>
      </c>
      <c r="J9" s="40">
        <f t="shared" si="4"/>
        <v>9</v>
      </c>
      <c r="K9" s="40"/>
      <c r="L9" s="42">
        <v>0.0</v>
      </c>
      <c r="M9" s="42">
        <v>0.8824</v>
      </c>
      <c r="N9" s="42">
        <v>0.7143</v>
      </c>
      <c r="O9" s="45">
        <v>0.9524</v>
      </c>
      <c r="P9" s="42">
        <v>0.9524</v>
      </c>
      <c r="Q9" s="42">
        <v>0.9524</v>
      </c>
      <c r="R9" s="42">
        <v>0.8095</v>
      </c>
      <c r="S9" s="42">
        <v>0.7619</v>
      </c>
      <c r="T9" s="41">
        <v>0.9048</v>
      </c>
      <c r="U9" s="41">
        <v>0.7619</v>
      </c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36" t="s">
        <v>33</v>
      </c>
      <c r="B10" s="36" t="s">
        <v>36</v>
      </c>
      <c r="C10" s="36">
        <v>4.0</v>
      </c>
      <c r="D10" s="36">
        <v>1.5110625085E10</v>
      </c>
      <c r="E10" s="36">
        <v>2.50002004E8</v>
      </c>
      <c r="F10" s="36" t="s">
        <v>48</v>
      </c>
      <c r="G10" s="40" t="str">
        <f t="shared" si="1"/>
        <v>Pending</v>
      </c>
      <c r="H10" s="40">
        <f t="shared" si="2"/>
        <v>-1</v>
      </c>
      <c r="I10" s="40">
        <f t="shared" si="3"/>
        <v>238</v>
      </c>
      <c r="J10" s="40">
        <f t="shared" si="4"/>
        <v>2</v>
      </c>
      <c r="K10" s="40"/>
      <c r="L10" s="42">
        <v>0.5714</v>
      </c>
      <c r="M10" s="42">
        <v>0.8824</v>
      </c>
      <c r="N10" s="42">
        <v>0.619</v>
      </c>
      <c r="O10" s="45">
        <v>0.8095</v>
      </c>
      <c r="P10" s="42">
        <v>1.0</v>
      </c>
      <c r="Q10" s="42">
        <v>0.9048</v>
      </c>
      <c r="R10" s="42">
        <v>0.7619</v>
      </c>
      <c r="S10" s="42">
        <v>0.7619</v>
      </c>
      <c r="T10" s="41">
        <v>0.8095</v>
      </c>
      <c r="U10" s="41">
        <v>0.8095</v>
      </c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36" t="s">
        <v>33</v>
      </c>
      <c r="B11" s="36" t="s">
        <v>36</v>
      </c>
      <c r="C11" s="36">
        <v>5.0</v>
      </c>
      <c r="D11" s="36">
        <v>1.5110625048E10</v>
      </c>
      <c r="E11" s="36">
        <v>2.50002005E8</v>
      </c>
      <c r="F11" s="36" t="s">
        <v>52</v>
      </c>
      <c r="G11" s="40" t="str">
        <f t="shared" si="1"/>
        <v>OK</v>
      </c>
      <c r="H11" s="40">
        <f t="shared" si="2"/>
        <v>17</v>
      </c>
      <c r="I11" s="40">
        <f t="shared" si="3"/>
        <v>291</v>
      </c>
      <c r="J11" s="40">
        <f t="shared" si="4"/>
        <v>0</v>
      </c>
      <c r="K11" s="40"/>
      <c r="L11" s="42">
        <v>1.0</v>
      </c>
      <c r="M11" s="42">
        <v>1.0</v>
      </c>
      <c r="N11" s="42">
        <v>1.0</v>
      </c>
      <c r="O11" s="45">
        <v>1.0</v>
      </c>
      <c r="P11" s="42">
        <v>1.0</v>
      </c>
      <c r="Q11" s="42">
        <v>1.0</v>
      </c>
      <c r="R11" s="42">
        <v>0.9048</v>
      </c>
      <c r="S11" s="42">
        <v>0.9524</v>
      </c>
      <c r="T11" s="41">
        <v>1.0</v>
      </c>
      <c r="U11" s="41">
        <v>0.8571</v>
      </c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36" t="s">
        <v>33</v>
      </c>
      <c r="B12" s="36" t="s">
        <v>36</v>
      </c>
      <c r="C12" s="36">
        <v>6.0</v>
      </c>
      <c r="D12" s="36">
        <v>1.5110625006E10</v>
      </c>
      <c r="E12" s="36">
        <v>2.50002006E8</v>
      </c>
      <c r="F12" s="36" t="s">
        <v>55</v>
      </c>
      <c r="G12" s="40" t="str">
        <f t="shared" si="1"/>
        <v>OK</v>
      </c>
      <c r="H12" s="40">
        <f t="shared" si="2"/>
        <v>8</v>
      </c>
      <c r="I12" s="40">
        <f t="shared" si="3"/>
        <v>264</v>
      </c>
      <c r="J12" s="40">
        <f t="shared" si="4"/>
        <v>0</v>
      </c>
      <c r="K12" s="40"/>
      <c r="L12" s="42">
        <v>0.9524</v>
      </c>
      <c r="M12" s="42">
        <v>0.8824</v>
      </c>
      <c r="N12" s="42">
        <v>1.0</v>
      </c>
      <c r="O12" s="45">
        <v>0.8571</v>
      </c>
      <c r="P12" s="42">
        <v>1.0</v>
      </c>
      <c r="Q12" s="42">
        <v>0.8095</v>
      </c>
      <c r="R12" s="42">
        <v>0.9048</v>
      </c>
      <c r="S12" s="42">
        <v>0.619</v>
      </c>
      <c r="T12" s="41">
        <v>0.9524</v>
      </c>
      <c r="U12" s="41">
        <v>0.8095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36" t="s">
        <v>33</v>
      </c>
      <c r="B13" s="36" t="s">
        <v>36</v>
      </c>
      <c r="C13" s="36">
        <v>7.0</v>
      </c>
      <c r="D13" s="36">
        <v>1.5110625149E10</v>
      </c>
      <c r="E13" s="36">
        <v>2.50002007E8</v>
      </c>
      <c r="F13" s="36" t="s">
        <v>57</v>
      </c>
      <c r="G13" s="40" t="str">
        <f t="shared" si="1"/>
        <v>OK</v>
      </c>
      <c r="H13" s="40">
        <f t="shared" si="2"/>
        <v>11</v>
      </c>
      <c r="I13" s="40">
        <f t="shared" si="3"/>
        <v>274</v>
      </c>
      <c r="J13" s="40">
        <f t="shared" si="4"/>
        <v>0</v>
      </c>
      <c r="K13" s="40"/>
      <c r="L13" s="42">
        <v>0.9524</v>
      </c>
      <c r="M13" s="42">
        <v>1.0</v>
      </c>
      <c r="N13" s="42">
        <v>1.0</v>
      </c>
      <c r="O13" s="45">
        <v>1.0</v>
      </c>
      <c r="P13" s="42">
        <v>0.9048</v>
      </c>
      <c r="Q13" s="42">
        <v>0.9048</v>
      </c>
      <c r="R13" s="42">
        <v>0.9524</v>
      </c>
      <c r="S13" s="42">
        <v>0.619</v>
      </c>
      <c r="T13" s="41">
        <v>0.8571</v>
      </c>
      <c r="U13" s="41">
        <v>0.9524</v>
      </c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36" t="s">
        <v>33</v>
      </c>
      <c r="B14" s="36" t="s">
        <v>36</v>
      </c>
      <c r="C14" s="36">
        <v>8.0</v>
      </c>
      <c r="D14" s="36">
        <v>1.5110625103E10</v>
      </c>
      <c r="E14" s="36">
        <v>2.50002008E8</v>
      </c>
      <c r="F14" s="36" t="s">
        <v>60</v>
      </c>
      <c r="G14" s="40" t="str">
        <f t="shared" si="1"/>
        <v>OK</v>
      </c>
      <c r="H14" s="40">
        <f t="shared" si="2"/>
        <v>15</v>
      </c>
      <c r="I14" s="40">
        <f t="shared" si="3"/>
        <v>284</v>
      </c>
      <c r="J14" s="40">
        <f t="shared" si="4"/>
        <v>0</v>
      </c>
      <c r="K14" s="40"/>
      <c r="L14" s="42">
        <v>1.0</v>
      </c>
      <c r="M14" s="42">
        <v>0.8824</v>
      </c>
      <c r="N14" s="42">
        <v>1.0</v>
      </c>
      <c r="O14" s="45">
        <v>0.8571</v>
      </c>
      <c r="P14" s="42">
        <v>1.0</v>
      </c>
      <c r="Q14" s="42">
        <v>1.0</v>
      </c>
      <c r="R14" s="42">
        <v>0.9048</v>
      </c>
      <c r="S14" s="42">
        <v>0.9524</v>
      </c>
      <c r="T14" s="41">
        <v>0.8571</v>
      </c>
      <c r="U14" s="41">
        <v>1.0</v>
      </c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36" t="s">
        <v>33</v>
      </c>
      <c r="B15" s="36" t="s">
        <v>36</v>
      </c>
      <c r="C15" s="36">
        <v>9.0</v>
      </c>
      <c r="D15" s="36">
        <v>1.5110625099E10</v>
      </c>
      <c r="E15" s="36">
        <v>2.50002009E8</v>
      </c>
      <c r="F15" s="36" t="s">
        <v>62</v>
      </c>
      <c r="G15" s="40" t="str">
        <f t="shared" si="1"/>
        <v>OK</v>
      </c>
      <c r="H15" s="40">
        <f t="shared" si="2"/>
        <v>4</v>
      </c>
      <c r="I15" s="40">
        <f t="shared" si="3"/>
        <v>251</v>
      </c>
      <c r="J15" s="40">
        <f t="shared" si="4"/>
        <v>0</v>
      </c>
      <c r="K15" s="40"/>
      <c r="L15" s="42">
        <v>1.0</v>
      </c>
      <c r="M15" s="42">
        <v>1.0</v>
      </c>
      <c r="N15" s="42">
        <v>1.0</v>
      </c>
      <c r="O15" s="45">
        <v>1.0</v>
      </c>
      <c r="P15" s="42">
        <v>0.9524</v>
      </c>
      <c r="Q15" s="42">
        <v>1.0</v>
      </c>
      <c r="R15" s="42">
        <v>1.0</v>
      </c>
      <c r="S15" s="42">
        <v>0.0</v>
      </c>
      <c r="T15" s="41">
        <v>0.4286</v>
      </c>
      <c r="U15" s="41">
        <v>1.0</v>
      </c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36" t="s">
        <v>33</v>
      </c>
      <c r="B16" s="36" t="s">
        <v>36</v>
      </c>
      <c r="C16" s="36">
        <v>11.0</v>
      </c>
      <c r="D16" s="36">
        <v>1.5110625089E10</v>
      </c>
      <c r="E16" s="36">
        <v>2.50002011E8</v>
      </c>
      <c r="F16" s="36" t="s">
        <v>65</v>
      </c>
      <c r="G16" s="40" t="str">
        <f t="shared" si="1"/>
        <v>OK</v>
      </c>
      <c r="H16" s="40">
        <f t="shared" si="2"/>
        <v>17</v>
      </c>
      <c r="I16" s="40">
        <f t="shared" si="3"/>
        <v>290</v>
      </c>
      <c r="J16" s="40">
        <f t="shared" si="4"/>
        <v>0</v>
      </c>
      <c r="K16" s="40"/>
      <c r="L16" s="42">
        <v>1.0</v>
      </c>
      <c r="M16" s="42">
        <v>0.9412</v>
      </c>
      <c r="N16" s="42">
        <v>1.0</v>
      </c>
      <c r="O16" s="45">
        <v>1.0</v>
      </c>
      <c r="P16" s="42">
        <v>0.9524</v>
      </c>
      <c r="Q16" s="42">
        <v>1.0</v>
      </c>
      <c r="R16" s="42">
        <v>1.0</v>
      </c>
      <c r="S16" s="42">
        <v>1.0</v>
      </c>
      <c r="T16" s="41">
        <v>0.9524</v>
      </c>
      <c r="U16" s="41">
        <v>0.8095</v>
      </c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36" t="s">
        <v>33</v>
      </c>
      <c r="B17" s="36" t="s">
        <v>36</v>
      </c>
      <c r="C17" s="36">
        <v>12.0</v>
      </c>
      <c r="D17" s="36">
        <v>1.5110625051E10</v>
      </c>
      <c r="E17" s="36">
        <v>2.50002012E8</v>
      </c>
      <c r="F17" s="36" t="s">
        <v>70</v>
      </c>
      <c r="G17" s="40" t="str">
        <f t="shared" si="1"/>
        <v>OK</v>
      </c>
      <c r="H17" s="40">
        <f t="shared" si="2"/>
        <v>6</v>
      </c>
      <c r="I17" s="40">
        <f t="shared" si="3"/>
        <v>257</v>
      </c>
      <c r="J17" s="40">
        <f t="shared" si="4"/>
        <v>0</v>
      </c>
      <c r="K17" s="40"/>
      <c r="L17" s="42">
        <v>0.1905</v>
      </c>
      <c r="M17" s="42">
        <v>0.9412</v>
      </c>
      <c r="N17" s="42">
        <v>0.9048</v>
      </c>
      <c r="O17" s="45">
        <v>1.0</v>
      </c>
      <c r="P17" s="42">
        <v>0.9048</v>
      </c>
      <c r="Q17" s="42">
        <v>0.9524</v>
      </c>
      <c r="R17" s="42">
        <v>0.9048</v>
      </c>
      <c r="S17" s="42">
        <v>0.9524</v>
      </c>
      <c r="T17" s="41">
        <v>0.8571</v>
      </c>
      <c r="U17" s="41">
        <v>0.9524</v>
      </c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36" t="s">
        <v>33</v>
      </c>
      <c r="B18" s="36" t="s">
        <v>36</v>
      </c>
      <c r="C18" s="36">
        <v>13.0</v>
      </c>
      <c r="D18" s="36">
        <v>1.511062501E10</v>
      </c>
      <c r="E18" s="36">
        <v>2.50002013E8</v>
      </c>
      <c r="F18" s="36" t="s">
        <v>73</v>
      </c>
      <c r="G18" s="40" t="str">
        <f t="shared" si="1"/>
        <v>OK</v>
      </c>
      <c r="H18" s="40">
        <f t="shared" si="2"/>
        <v>10</v>
      </c>
      <c r="I18" s="40">
        <f t="shared" si="3"/>
        <v>270</v>
      </c>
      <c r="J18" s="40">
        <f t="shared" si="4"/>
        <v>0</v>
      </c>
      <c r="K18" s="40"/>
      <c r="L18" s="42">
        <v>0.9524</v>
      </c>
      <c r="M18" s="42">
        <v>1.0</v>
      </c>
      <c r="N18" s="42">
        <v>0.9524</v>
      </c>
      <c r="O18" s="45">
        <v>0.8571</v>
      </c>
      <c r="P18" s="42">
        <v>0.8095</v>
      </c>
      <c r="Q18" s="42">
        <v>0.9048</v>
      </c>
      <c r="R18" s="42">
        <v>0.9524</v>
      </c>
      <c r="S18" s="42">
        <v>0.9048</v>
      </c>
      <c r="T18" s="41">
        <v>0.8571</v>
      </c>
      <c r="U18" s="41">
        <v>0.8095</v>
      </c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36" t="s">
        <v>33</v>
      </c>
      <c r="B19" s="36" t="s">
        <v>36</v>
      </c>
      <c r="C19" s="36">
        <v>14.0</v>
      </c>
      <c r="D19" s="36">
        <v>1.5110625093E10</v>
      </c>
      <c r="E19" s="36">
        <v>2.50002014E8</v>
      </c>
      <c r="F19" s="36" t="s">
        <v>76</v>
      </c>
      <c r="G19" s="40" t="str">
        <f t="shared" si="1"/>
        <v>Pending</v>
      </c>
      <c r="H19" s="40">
        <f t="shared" si="2"/>
        <v>-5</v>
      </c>
      <c r="I19" s="40">
        <f t="shared" si="3"/>
        <v>224</v>
      </c>
      <c r="J19" s="40">
        <f t="shared" si="4"/>
        <v>16</v>
      </c>
      <c r="K19" s="40"/>
      <c r="L19" s="42">
        <v>0.4762</v>
      </c>
      <c r="M19" s="42">
        <v>1.0</v>
      </c>
      <c r="N19" s="42">
        <v>0.7143</v>
      </c>
      <c r="O19" s="45">
        <v>0.7143</v>
      </c>
      <c r="P19" s="42">
        <v>0.8095</v>
      </c>
      <c r="Q19" s="42">
        <v>0.5714</v>
      </c>
      <c r="R19" s="42">
        <v>0.8571</v>
      </c>
      <c r="S19" s="42">
        <v>1.0</v>
      </c>
      <c r="T19" s="41">
        <v>0.7619</v>
      </c>
      <c r="U19" s="41">
        <v>0.5714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36" t="s">
        <v>33</v>
      </c>
      <c r="B20" s="36" t="s">
        <v>36</v>
      </c>
      <c r="C20" s="36">
        <v>15.0</v>
      </c>
      <c r="D20" s="36">
        <v>1.5110625028E10</v>
      </c>
      <c r="E20" s="36">
        <v>2.50002015E8</v>
      </c>
      <c r="F20" s="36" t="s">
        <v>79</v>
      </c>
      <c r="G20" s="40" t="str">
        <f t="shared" si="1"/>
        <v>OK</v>
      </c>
      <c r="H20" s="40">
        <f t="shared" si="2"/>
        <v>10</v>
      </c>
      <c r="I20" s="40">
        <f t="shared" si="3"/>
        <v>269</v>
      </c>
      <c r="J20" s="40">
        <f t="shared" si="4"/>
        <v>0</v>
      </c>
      <c r="K20" s="40"/>
      <c r="L20" s="42">
        <v>0.8095</v>
      </c>
      <c r="M20" s="42">
        <v>0.8824</v>
      </c>
      <c r="N20" s="42">
        <v>1.0</v>
      </c>
      <c r="O20" s="45">
        <v>0.8571</v>
      </c>
      <c r="P20" s="42">
        <v>1.0</v>
      </c>
      <c r="Q20" s="42">
        <v>0.9048</v>
      </c>
      <c r="R20" s="42">
        <v>0.8571</v>
      </c>
      <c r="S20" s="42">
        <v>0.8571</v>
      </c>
      <c r="T20" s="41">
        <v>0.9524</v>
      </c>
      <c r="U20" s="41">
        <v>0.8571</v>
      </c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36" t="s">
        <v>33</v>
      </c>
      <c r="B21" s="36" t="s">
        <v>36</v>
      </c>
      <c r="C21" s="36">
        <v>16.0</v>
      </c>
      <c r="D21" s="36">
        <v>1.5110625081E10</v>
      </c>
      <c r="E21" s="36">
        <v>2.50002016E8</v>
      </c>
      <c r="F21" s="36" t="s">
        <v>82</v>
      </c>
      <c r="G21" s="40" t="str">
        <f t="shared" si="1"/>
        <v>OK</v>
      </c>
      <c r="H21" s="40">
        <f t="shared" si="2"/>
        <v>2</v>
      </c>
      <c r="I21" s="40">
        <f t="shared" si="3"/>
        <v>246</v>
      </c>
      <c r="J21" s="40">
        <f t="shared" si="4"/>
        <v>0</v>
      </c>
      <c r="K21" s="40"/>
      <c r="L21" s="42">
        <v>0.2381</v>
      </c>
      <c r="M21" s="42">
        <v>1.0</v>
      </c>
      <c r="N21" s="42">
        <v>0.7619</v>
      </c>
      <c r="O21" s="45">
        <v>1.0</v>
      </c>
      <c r="P21" s="42">
        <v>0.9524</v>
      </c>
      <c r="Q21" s="42">
        <v>1.0</v>
      </c>
      <c r="R21" s="42">
        <v>0.8095</v>
      </c>
      <c r="S21" s="42">
        <v>0.7619</v>
      </c>
      <c r="T21" s="41">
        <v>0.8095</v>
      </c>
      <c r="U21" s="41">
        <v>0.8571</v>
      </c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36" t="s">
        <v>33</v>
      </c>
      <c r="B22" s="36" t="s">
        <v>36</v>
      </c>
      <c r="C22" s="36">
        <v>17.0</v>
      </c>
      <c r="D22" s="36">
        <v>1.5110625017E10</v>
      </c>
      <c r="E22" s="36">
        <v>2.50002017E8</v>
      </c>
      <c r="F22" s="36" t="s">
        <v>85</v>
      </c>
      <c r="G22" s="40" t="str">
        <f t="shared" si="1"/>
        <v>OK</v>
      </c>
      <c r="H22" s="40">
        <f t="shared" si="2"/>
        <v>14</v>
      </c>
      <c r="I22" s="40">
        <f t="shared" si="3"/>
        <v>281</v>
      </c>
      <c r="J22" s="40">
        <f t="shared" si="4"/>
        <v>0</v>
      </c>
      <c r="K22" s="40"/>
      <c r="L22" s="42">
        <v>1.0</v>
      </c>
      <c r="M22" s="42">
        <v>1.0</v>
      </c>
      <c r="N22" s="42">
        <v>1.0</v>
      </c>
      <c r="O22" s="45">
        <v>0.8095</v>
      </c>
      <c r="P22" s="42">
        <v>1.0</v>
      </c>
      <c r="Q22" s="42">
        <v>1.0</v>
      </c>
      <c r="R22" s="42">
        <v>0.8095</v>
      </c>
      <c r="S22" s="42">
        <v>0.8095</v>
      </c>
      <c r="T22" s="41">
        <v>0.9524</v>
      </c>
      <c r="U22" s="41">
        <v>1.0</v>
      </c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36" t="s">
        <v>33</v>
      </c>
      <c r="B23" s="36" t="s">
        <v>36</v>
      </c>
      <c r="C23" s="36">
        <v>19.0</v>
      </c>
      <c r="D23" s="36">
        <v>1.5110625068E10</v>
      </c>
      <c r="E23" s="36">
        <v>2.50002019E8</v>
      </c>
      <c r="F23" s="36" t="s">
        <v>88</v>
      </c>
      <c r="G23" s="40" t="str">
        <f t="shared" si="1"/>
        <v>OK</v>
      </c>
      <c r="H23" s="40">
        <f t="shared" si="2"/>
        <v>20</v>
      </c>
      <c r="I23" s="40">
        <f t="shared" si="3"/>
        <v>300</v>
      </c>
      <c r="J23" s="40">
        <f t="shared" si="4"/>
        <v>0</v>
      </c>
      <c r="K23" s="40"/>
      <c r="L23" s="42">
        <v>1.0</v>
      </c>
      <c r="M23" s="42">
        <v>1.0</v>
      </c>
      <c r="N23" s="42">
        <v>1.0</v>
      </c>
      <c r="O23" s="45">
        <v>1.0</v>
      </c>
      <c r="P23" s="42">
        <v>1.0</v>
      </c>
      <c r="Q23" s="42">
        <v>1.0</v>
      </c>
      <c r="R23" s="42">
        <v>1.0</v>
      </c>
      <c r="S23" s="42">
        <v>1.0</v>
      </c>
      <c r="T23" s="41">
        <v>1.0</v>
      </c>
      <c r="U23" s="41">
        <v>1.0</v>
      </c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36" t="s">
        <v>33</v>
      </c>
      <c r="B24" s="36" t="s">
        <v>36</v>
      </c>
      <c r="C24" s="36">
        <v>20.0</v>
      </c>
      <c r="D24" s="36">
        <v>1.5110625123E10</v>
      </c>
      <c r="E24" s="36">
        <v>2.5000202E8</v>
      </c>
      <c r="F24" s="36" t="s">
        <v>91</v>
      </c>
      <c r="G24" s="40" t="str">
        <f t="shared" si="1"/>
        <v>Pending</v>
      </c>
      <c r="H24" s="40">
        <f t="shared" si="2"/>
        <v>-79</v>
      </c>
      <c r="I24" s="40">
        <f t="shared" si="3"/>
        <v>3</v>
      </c>
      <c r="J24" s="40">
        <f t="shared" si="4"/>
        <v>237</v>
      </c>
      <c r="K24" s="40"/>
      <c r="L24" s="42">
        <v>0.0</v>
      </c>
      <c r="M24" s="42">
        <v>0.0</v>
      </c>
      <c r="N24" s="42">
        <v>0.0476</v>
      </c>
      <c r="O24" s="45">
        <v>0.0</v>
      </c>
      <c r="P24" s="42">
        <v>0.0476</v>
      </c>
      <c r="Q24" s="42">
        <v>0.0</v>
      </c>
      <c r="R24" s="42">
        <v>0.0</v>
      </c>
      <c r="S24" s="42">
        <v>0.0</v>
      </c>
      <c r="T24" s="41">
        <v>0.0</v>
      </c>
      <c r="U24" s="41">
        <v>0.0</v>
      </c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36" t="s">
        <v>33</v>
      </c>
      <c r="B25" s="36" t="s">
        <v>36</v>
      </c>
      <c r="C25" s="36">
        <v>21.0</v>
      </c>
      <c r="D25" s="36">
        <v>1.5110625004E10</v>
      </c>
      <c r="E25" s="36">
        <v>2.50002021E8</v>
      </c>
      <c r="F25" s="36" t="s">
        <v>94</v>
      </c>
      <c r="G25" s="40" t="str">
        <f t="shared" si="1"/>
        <v>OK</v>
      </c>
      <c r="H25" s="40">
        <f t="shared" si="2"/>
        <v>4</v>
      </c>
      <c r="I25" s="40">
        <f t="shared" si="3"/>
        <v>252</v>
      </c>
      <c r="J25" s="40">
        <f t="shared" si="4"/>
        <v>0</v>
      </c>
      <c r="K25" s="40"/>
      <c r="L25" s="42">
        <v>0.4762</v>
      </c>
      <c r="M25" s="42">
        <v>0.6471</v>
      </c>
      <c r="N25" s="42">
        <v>0.8095</v>
      </c>
      <c r="O25" s="45">
        <v>1.0</v>
      </c>
      <c r="P25" s="42">
        <v>1.0</v>
      </c>
      <c r="Q25" s="42">
        <v>0.9524</v>
      </c>
      <c r="R25" s="42">
        <v>0.9524</v>
      </c>
      <c r="S25" s="42">
        <v>0.8571</v>
      </c>
      <c r="T25" s="41">
        <v>0.8571</v>
      </c>
      <c r="U25" s="41">
        <v>0.8571</v>
      </c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36" t="s">
        <v>33</v>
      </c>
      <c r="B26" s="36" t="s">
        <v>36</v>
      </c>
      <c r="C26" s="36">
        <v>22.0</v>
      </c>
      <c r="D26" s="36">
        <v>1.5110625156E10</v>
      </c>
      <c r="E26" s="36">
        <v>2.50002022E8</v>
      </c>
      <c r="F26" s="36" t="s">
        <v>97</v>
      </c>
      <c r="G26" s="40" t="str">
        <f t="shared" si="1"/>
        <v>OK</v>
      </c>
      <c r="H26" s="40">
        <f t="shared" si="2"/>
        <v>16</v>
      </c>
      <c r="I26" s="40">
        <f t="shared" si="3"/>
        <v>289</v>
      </c>
      <c r="J26" s="40">
        <f t="shared" si="4"/>
        <v>0</v>
      </c>
      <c r="K26" s="40"/>
      <c r="L26" s="42">
        <v>0.8571</v>
      </c>
      <c r="M26" s="42">
        <v>1.0</v>
      </c>
      <c r="N26" s="42">
        <v>1.0</v>
      </c>
      <c r="O26" s="45">
        <v>1.0</v>
      </c>
      <c r="P26" s="42">
        <v>0.8095</v>
      </c>
      <c r="Q26" s="42">
        <v>1.0</v>
      </c>
      <c r="R26" s="42">
        <v>1.0</v>
      </c>
      <c r="S26" s="42">
        <v>1.0</v>
      </c>
      <c r="T26" s="41">
        <v>0.9524</v>
      </c>
      <c r="U26" s="41">
        <v>1.0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36" t="s">
        <v>33</v>
      </c>
      <c r="B27" s="36" t="s">
        <v>36</v>
      </c>
      <c r="C27" s="36">
        <v>23.0</v>
      </c>
      <c r="D27" s="36">
        <v>1.5110625076E10</v>
      </c>
      <c r="E27" s="36">
        <v>2.50002023E8</v>
      </c>
      <c r="F27" s="36" t="s">
        <v>100</v>
      </c>
      <c r="G27" s="40" t="str">
        <f t="shared" si="1"/>
        <v>OK</v>
      </c>
      <c r="H27" s="40">
        <f t="shared" si="2"/>
        <v>16</v>
      </c>
      <c r="I27" s="40">
        <f t="shared" si="3"/>
        <v>289</v>
      </c>
      <c r="J27" s="40">
        <f t="shared" si="4"/>
        <v>0</v>
      </c>
      <c r="K27" s="40"/>
      <c r="L27" s="42">
        <v>0.9524</v>
      </c>
      <c r="M27" s="42">
        <v>1.0</v>
      </c>
      <c r="N27" s="42">
        <v>1.0</v>
      </c>
      <c r="O27" s="45">
        <v>1.0</v>
      </c>
      <c r="P27" s="42">
        <v>1.0</v>
      </c>
      <c r="Q27" s="42">
        <v>0.7619</v>
      </c>
      <c r="R27" s="42">
        <v>0.9524</v>
      </c>
      <c r="S27" s="42">
        <v>1.0</v>
      </c>
      <c r="T27" s="41">
        <v>1.0</v>
      </c>
      <c r="U27" s="41">
        <v>0.9524</v>
      </c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36" t="s">
        <v>33</v>
      </c>
      <c r="B28" s="36" t="s">
        <v>36</v>
      </c>
      <c r="C28" s="36">
        <v>24.0</v>
      </c>
      <c r="D28" s="36">
        <v>1.5110625027E10</v>
      </c>
      <c r="E28" s="36">
        <v>2.50002024E8</v>
      </c>
      <c r="F28" s="36" t="s">
        <v>105</v>
      </c>
      <c r="G28" s="40" t="str">
        <f t="shared" si="1"/>
        <v>OK</v>
      </c>
      <c r="H28" s="40">
        <f t="shared" si="2"/>
        <v>12</v>
      </c>
      <c r="I28" s="40">
        <f t="shared" si="3"/>
        <v>277</v>
      </c>
      <c r="J28" s="40">
        <f t="shared" si="4"/>
        <v>0</v>
      </c>
      <c r="K28" s="40"/>
      <c r="L28" s="42">
        <v>0.9524</v>
      </c>
      <c r="M28" s="42">
        <v>1.0</v>
      </c>
      <c r="N28" s="42">
        <v>0.7143</v>
      </c>
      <c r="O28" s="45">
        <v>1.0</v>
      </c>
      <c r="P28" s="42">
        <v>0.9048</v>
      </c>
      <c r="Q28" s="42">
        <v>0.9048</v>
      </c>
      <c r="R28" s="42">
        <v>0.9524</v>
      </c>
      <c r="S28" s="42">
        <v>1.0</v>
      </c>
      <c r="T28" s="41">
        <v>0.8571</v>
      </c>
      <c r="U28" s="41">
        <v>0.9524</v>
      </c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36" t="s">
        <v>33</v>
      </c>
      <c r="B29" s="36" t="s">
        <v>36</v>
      </c>
      <c r="C29" s="36">
        <v>25.0</v>
      </c>
      <c r="D29" s="36">
        <v>1.5110625065E10</v>
      </c>
      <c r="E29" s="36">
        <v>2.50002025E8</v>
      </c>
      <c r="F29" s="36" t="s">
        <v>108</v>
      </c>
      <c r="G29" s="40" t="str">
        <f t="shared" si="1"/>
        <v>OK</v>
      </c>
      <c r="H29" s="40">
        <f t="shared" si="2"/>
        <v>16</v>
      </c>
      <c r="I29" s="40">
        <f t="shared" si="3"/>
        <v>289</v>
      </c>
      <c r="J29" s="40">
        <f t="shared" si="4"/>
        <v>0</v>
      </c>
      <c r="K29" s="40"/>
      <c r="L29" s="42">
        <v>1.0</v>
      </c>
      <c r="M29" s="42">
        <v>1.0</v>
      </c>
      <c r="N29" s="42">
        <v>1.0</v>
      </c>
      <c r="O29" s="45">
        <v>0.8571</v>
      </c>
      <c r="P29" s="42">
        <v>0.8095</v>
      </c>
      <c r="Q29" s="42">
        <v>1.0</v>
      </c>
      <c r="R29" s="42">
        <v>1.0</v>
      </c>
      <c r="S29" s="42">
        <v>1.0</v>
      </c>
      <c r="T29" s="41">
        <v>0.9524</v>
      </c>
      <c r="U29" s="41">
        <v>1.0</v>
      </c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36" t="s">
        <v>33</v>
      </c>
      <c r="B30" s="36" t="s">
        <v>36</v>
      </c>
      <c r="C30" s="36">
        <v>26.0</v>
      </c>
      <c r="D30" s="36">
        <v>1.5110625018E10</v>
      </c>
      <c r="E30" s="36">
        <v>2.50002027E8</v>
      </c>
      <c r="F30" s="36" t="s">
        <v>110</v>
      </c>
      <c r="G30" s="40" t="str">
        <f t="shared" si="1"/>
        <v>OK</v>
      </c>
      <c r="H30" s="40">
        <f t="shared" si="2"/>
        <v>13</v>
      </c>
      <c r="I30" s="40">
        <f t="shared" si="3"/>
        <v>279</v>
      </c>
      <c r="J30" s="40">
        <f t="shared" si="4"/>
        <v>0</v>
      </c>
      <c r="K30" s="40"/>
      <c r="L30" s="42">
        <v>0.7143</v>
      </c>
      <c r="M30" s="42">
        <v>1.0</v>
      </c>
      <c r="N30" s="42">
        <v>1.0</v>
      </c>
      <c r="O30" s="45">
        <v>1.0</v>
      </c>
      <c r="P30" s="42">
        <v>0.9524</v>
      </c>
      <c r="Q30" s="42">
        <v>1.0</v>
      </c>
      <c r="R30" s="42">
        <v>0.9048</v>
      </c>
      <c r="S30" s="42">
        <v>0.9048</v>
      </c>
      <c r="T30" s="41">
        <v>0.9048</v>
      </c>
      <c r="U30" s="41">
        <v>0.9048</v>
      </c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36" t="s">
        <v>33</v>
      </c>
      <c r="B31" s="36" t="s">
        <v>36</v>
      </c>
      <c r="C31" s="36">
        <v>27.0</v>
      </c>
      <c r="D31" s="36">
        <v>1.5110625012E10</v>
      </c>
      <c r="E31" s="36">
        <v>2.50002028E8</v>
      </c>
      <c r="F31" s="36" t="s">
        <v>112</v>
      </c>
      <c r="G31" s="40" t="str">
        <f t="shared" si="1"/>
        <v>OK</v>
      </c>
      <c r="H31" s="40">
        <f t="shared" si="2"/>
        <v>13</v>
      </c>
      <c r="I31" s="40">
        <f t="shared" si="3"/>
        <v>280</v>
      </c>
      <c r="J31" s="40">
        <f t="shared" si="4"/>
        <v>0</v>
      </c>
      <c r="K31" s="40"/>
      <c r="L31" s="42">
        <v>1.0</v>
      </c>
      <c r="M31" s="42">
        <v>0.7059</v>
      </c>
      <c r="N31" s="42">
        <v>1.0</v>
      </c>
      <c r="O31" s="45">
        <v>1.0</v>
      </c>
      <c r="P31" s="42">
        <v>1.0</v>
      </c>
      <c r="Q31" s="42">
        <v>0.9048</v>
      </c>
      <c r="R31" s="42">
        <v>0.8571</v>
      </c>
      <c r="S31" s="42">
        <v>0.9048</v>
      </c>
      <c r="T31" s="41">
        <v>1.0</v>
      </c>
      <c r="U31" s="41">
        <v>0.9524</v>
      </c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36" t="s">
        <v>33</v>
      </c>
      <c r="B32" s="36" t="s">
        <v>36</v>
      </c>
      <c r="C32" s="36">
        <v>28.0</v>
      </c>
      <c r="D32" s="36">
        <v>1.5110625151E10</v>
      </c>
      <c r="E32" s="36">
        <v>2.50002029E8</v>
      </c>
      <c r="F32" s="36" t="s">
        <v>114</v>
      </c>
      <c r="G32" s="40" t="str">
        <f t="shared" si="1"/>
        <v>OK</v>
      </c>
      <c r="H32" s="40">
        <f t="shared" si="2"/>
        <v>15</v>
      </c>
      <c r="I32" s="40">
        <f t="shared" si="3"/>
        <v>286</v>
      </c>
      <c r="J32" s="40">
        <f t="shared" si="4"/>
        <v>0</v>
      </c>
      <c r="K32" s="40"/>
      <c r="L32" s="42">
        <v>1.0</v>
      </c>
      <c r="M32" s="42">
        <v>0.8824</v>
      </c>
      <c r="N32" s="42">
        <v>1.0</v>
      </c>
      <c r="O32" s="45">
        <v>0.9048</v>
      </c>
      <c r="P32" s="42">
        <v>1.0</v>
      </c>
      <c r="Q32" s="42">
        <v>1.0</v>
      </c>
      <c r="R32" s="42">
        <v>0.9524</v>
      </c>
      <c r="S32" s="42">
        <v>1.0</v>
      </c>
      <c r="T32" s="41">
        <v>1.0</v>
      </c>
      <c r="U32" s="41">
        <v>0.8095</v>
      </c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36" t="s">
        <v>33</v>
      </c>
      <c r="B33" s="36" t="s">
        <v>116</v>
      </c>
      <c r="C33" s="36">
        <v>29.0</v>
      </c>
      <c r="D33" s="36">
        <v>1.5110625019E10</v>
      </c>
      <c r="E33" s="36">
        <v>2.5000203E8</v>
      </c>
      <c r="F33" s="36" t="s">
        <v>117</v>
      </c>
      <c r="G33" s="40" t="str">
        <f t="shared" si="1"/>
        <v>OK</v>
      </c>
      <c r="H33" s="40">
        <f t="shared" si="2"/>
        <v>14</v>
      </c>
      <c r="I33" s="40">
        <f t="shared" si="3"/>
        <v>283</v>
      </c>
      <c r="J33" s="40">
        <f t="shared" si="4"/>
        <v>0</v>
      </c>
      <c r="K33" s="40"/>
      <c r="L33" s="42">
        <v>0.8095</v>
      </c>
      <c r="M33" s="42">
        <v>1.0</v>
      </c>
      <c r="N33" s="42">
        <v>0.9524</v>
      </c>
      <c r="O33" s="45">
        <v>0.7619</v>
      </c>
      <c r="P33" s="42">
        <v>1.0</v>
      </c>
      <c r="Q33" s="42">
        <v>1.0</v>
      </c>
      <c r="R33" s="42">
        <v>1.0</v>
      </c>
      <c r="S33" s="42">
        <v>1.0</v>
      </c>
      <c r="T33" s="41">
        <v>0.9048</v>
      </c>
      <c r="U33" s="41">
        <v>1.0</v>
      </c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36" t="s">
        <v>33</v>
      </c>
      <c r="B34" s="36" t="s">
        <v>116</v>
      </c>
      <c r="C34" s="36">
        <v>30.0</v>
      </c>
      <c r="D34" s="36">
        <v>1.5110625026E10</v>
      </c>
      <c r="E34" s="36">
        <v>2.50002031E8</v>
      </c>
      <c r="F34" s="36" t="s">
        <v>120</v>
      </c>
      <c r="G34" s="40" t="str">
        <f t="shared" si="1"/>
        <v>OK</v>
      </c>
      <c r="H34" s="40">
        <f t="shared" si="2"/>
        <v>14</v>
      </c>
      <c r="I34" s="40">
        <f t="shared" si="3"/>
        <v>281</v>
      </c>
      <c r="J34" s="40">
        <f t="shared" si="4"/>
        <v>0</v>
      </c>
      <c r="K34" s="40"/>
      <c r="L34" s="42">
        <v>1.0</v>
      </c>
      <c r="M34" s="42">
        <v>1.0</v>
      </c>
      <c r="N34" s="42">
        <v>0.8095</v>
      </c>
      <c r="O34" s="45">
        <v>0.9048</v>
      </c>
      <c r="P34" s="42">
        <v>1.0</v>
      </c>
      <c r="Q34" s="42">
        <v>0.9048</v>
      </c>
      <c r="R34" s="42">
        <v>0.9048</v>
      </c>
      <c r="S34" s="42">
        <v>1.0</v>
      </c>
      <c r="T34" s="41">
        <v>0.9524</v>
      </c>
      <c r="U34" s="41">
        <v>0.9048</v>
      </c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36" t="s">
        <v>33</v>
      </c>
      <c r="B35" s="36" t="s">
        <v>116</v>
      </c>
      <c r="C35" s="36">
        <v>31.0</v>
      </c>
      <c r="D35" s="36">
        <v>1.5110625147E10</v>
      </c>
      <c r="E35" s="36">
        <v>2.50002032E8</v>
      </c>
      <c r="F35" s="36" t="s">
        <v>124</v>
      </c>
      <c r="G35" s="40" t="str">
        <f t="shared" si="1"/>
        <v>OK</v>
      </c>
      <c r="H35" s="40">
        <f t="shared" si="2"/>
        <v>12</v>
      </c>
      <c r="I35" s="40">
        <f t="shared" si="3"/>
        <v>275</v>
      </c>
      <c r="J35" s="40">
        <f t="shared" si="4"/>
        <v>0</v>
      </c>
      <c r="K35" s="40"/>
      <c r="L35" s="42">
        <v>0.8095</v>
      </c>
      <c r="M35" s="42">
        <v>0.9412</v>
      </c>
      <c r="N35" s="42">
        <v>1.0</v>
      </c>
      <c r="O35" s="45">
        <v>0.9048</v>
      </c>
      <c r="P35" s="42">
        <v>0.9048</v>
      </c>
      <c r="Q35" s="42">
        <v>0.9048</v>
      </c>
      <c r="R35" s="42">
        <v>0.9524</v>
      </c>
      <c r="S35" s="42">
        <v>0.9</v>
      </c>
      <c r="T35" s="41">
        <v>0.8571</v>
      </c>
      <c r="U35" s="41">
        <v>1.0</v>
      </c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36" t="s">
        <v>33</v>
      </c>
      <c r="B36" s="36" t="s">
        <v>116</v>
      </c>
      <c r="C36" s="36">
        <v>32.0</v>
      </c>
      <c r="D36" s="36">
        <v>1.511062513E10</v>
      </c>
      <c r="E36" s="36">
        <v>2.50002033E8</v>
      </c>
      <c r="F36" s="36" t="s">
        <v>127</v>
      </c>
      <c r="G36" s="40" t="str">
        <f t="shared" si="1"/>
        <v>OK</v>
      </c>
      <c r="H36" s="40">
        <f t="shared" si="2"/>
        <v>18</v>
      </c>
      <c r="I36" s="40">
        <f t="shared" si="3"/>
        <v>294</v>
      </c>
      <c r="J36" s="40">
        <f t="shared" si="4"/>
        <v>0</v>
      </c>
      <c r="K36" s="40"/>
      <c r="L36" s="42">
        <v>1.0</v>
      </c>
      <c r="M36" s="42">
        <v>1.0</v>
      </c>
      <c r="N36" s="42">
        <v>1.0</v>
      </c>
      <c r="O36" s="45">
        <v>1.0</v>
      </c>
      <c r="P36" s="42">
        <v>1.0</v>
      </c>
      <c r="Q36" s="42">
        <v>1.0</v>
      </c>
      <c r="R36" s="42">
        <v>1.0</v>
      </c>
      <c r="S36" s="42">
        <v>1.0</v>
      </c>
      <c r="T36" s="41">
        <v>1.0</v>
      </c>
      <c r="U36" s="41">
        <v>0.8095</v>
      </c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36" t="s">
        <v>33</v>
      </c>
      <c r="B37" s="36" t="s">
        <v>116</v>
      </c>
      <c r="C37" s="36">
        <v>33.0</v>
      </c>
      <c r="D37" s="36">
        <v>1.5110625128E10</v>
      </c>
      <c r="E37" s="36">
        <v>2.50002034E8</v>
      </c>
      <c r="F37" s="36" t="s">
        <v>130</v>
      </c>
      <c r="G37" s="40" t="str">
        <f t="shared" si="1"/>
        <v>OK</v>
      </c>
      <c r="H37" s="40">
        <f t="shared" si="2"/>
        <v>17</v>
      </c>
      <c r="I37" s="40">
        <f t="shared" si="3"/>
        <v>291</v>
      </c>
      <c r="J37" s="40">
        <f t="shared" si="4"/>
        <v>0</v>
      </c>
      <c r="K37" s="40"/>
      <c r="L37" s="42">
        <v>1.0</v>
      </c>
      <c r="M37" s="42">
        <v>1.0</v>
      </c>
      <c r="N37" s="42">
        <v>0.9048</v>
      </c>
      <c r="O37" s="45">
        <v>1.0</v>
      </c>
      <c r="P37" s="42">
        <v>1.0</v>
      </c>
      <c r="Q37" s="42">
        <v>1.0</v>
      </c>
      <c r="R37" s="42">
        <v>1.0</v>
      </c>
      <c r="S37" s="42">
        <v>1.0</v>
      </c>
      <c r="T37" s="41">
        <v>1.0</v>
      </c>
      <c r="U37" s="41">
        <v>0.8095</v>
      </c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36" t="s">
        <v>33</v>
      </c>
      <c r="B38" s="36" t="s">
        <v>116</v>
      </c>
      <c r="C38" s="36">
        <v>34.0</v>
      </c>
      <c r="D38" s="36">
        <v>1.5110625102E10</v>
      </c>
      <c r="E38" s="36">
        <v>2.50002035E8</v>
      </c>
      <c r="F38" s="36" t="s">
        <v>133</v>
      </c>
      <c r="G38" s="40" t="str">
        <f t="shared" si="1"/>
        <v>OK</v>
      </c>
      <c r="H38" s="40">
        <f t="shared" si="2"/>
        <v>14</v>
      </c>
      <c r="I38" s="40">
        <f t="shared" si="3"/>
        <v>283</v>
      </c>
      <c r="J38" s="40">
        <f t="shared" si="4"/>
        <v>0</v>
      </c>
      <c r="K38" s="40"/>
      <c r="L38" s="42">
        <v>1.0</v>
      </c>
      <c r="M38" s="42">
        <v>1.0</v>
      </c>
      <c r="N38" s="42">
        <v>1.0</v>
      </c>
      <c r="O38" s="45">
        <v>1.0</v>
      </c>
      <c r="P38" s="42">
        <v>1.0</v>
      </c>
      <c r="Q38" s="42">
        <v>0.9048</v>
      </c>
      <c r="R38" s="42">
        <v>0.9048</v>
      </c>
      <c r="S38" s="42">
        <v>0.9</v>
      </c>
      <c r="T38" s="41">
        <v>0.8571</v>
      </c>
      <c r="U38" s="41">
        <v>0.8571</v>
      </c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36" t="s">
        <v>33</v>
      </c>
      <c r="B39" s="36" t="s">
        <v>116</v>
      </c>
      <c r="C39" s="36">
        <v>35.0</v>
      </c>
      <c r="D39" s="36">
        <v>1.511062508E10</v>
      </c>
      <c r="E39" s="36">
        <v>2.50002036E8</v>
      </c>
      <c r="F39" s="36" t="s">
        <v>135</v>
      </c>
      <c r="G39" s="40" t="str">
        <f t="shared" si="1"/>
        <v>OK</v>
      </c>
      <c r="H39" s="40">
        <f t="shared" si="2"/>
        <v>7</v>
      </c>
      <c r="I39" s="40">
        <f t="shared" si="3"/>
        <v>262</v>
      </c>
      <c r="J39" s="40">
        <f t="shared" si="4"/>
        <v>0</v>
      </c>
      <c r="K39" s="40"/>
      <c r="L39" s="42">
        <v>0.7619</v>
      </c>
      <c r="M39" s="42">
        <v>0.8235</v>
      </c>
      <c r="N39" s="42">
        <v>0.9524</v>
      </c>
      <c r="O39" s="45">
        <v>0.9048</v>
      </c>
      <c r="P39" s="42">
        <v>0.9048</v>
      </c>
      <c r="Q39" s="42">
        <v>0.8571</v>
      </c>
      <c r="R39" s="42">
        <v>0.8571</v>
      </c>
      <c r="S39" s="42">
        <v>0.8</v>
      </c>
      <c r="T39" s="41">
        <v>0.9524</v>
      </c>
      <c r="U39" s="41">
        <v>0.9048</v>
      </c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36" t="s">
        <v>33</v>
      </c>
      <c r="B40" s="36" t="s">
        <v>116</v>
      </c>
      <c r="C40" s="36">
        <v>36.0</v>
      </c>
      <c r="D40" s="36">
        <v>1.5110625107E10</v>
      </c>
      <c r="E40" s="36">
        <v>2.50002037E8</v>
      </c>
      <c r="F40" s="36" t="s">
        <v>137</v>
      </c>
      <c r="G40" s="40" t="str">
        <f t="shared" si="1"/>
        <v>OK</v>
      </c>
      <c r="H40" s="40">
        <f t="shared" si="2"/>
        <v>14</v>
      </c>
      <c r="I40" s="40">
        <f t="shared" si="3"/>
        <v>283</v>
      </c>
      <c r="J40" s="40">
        <f t="shared" si="4"/>
        <v>0</v>
      </c>
      <c r="K40" s="40"/>
      <c r="L40" s="42">
        <v>0.8095</v>
      </c>
      <c r="M40" s="42">
        <v>1.0</v>
      </c>
      <c r="N40" s="42">
        <v>1.0</v>
      </c>
      <c r="O40" s="45">
        <v>1.0</v>
      </c>
      <c r="P40" s="42">
        <v>1.0</v>
      </c>
      <c r="Q40" s="42">
        <v>0.8095</v>
      </c>
      <c r="R40" s="42">
        <v>1.0</v>
      </c>
      <c r="S40" s="42">
        <v>1.0</v>
      </c>
      <c r="T40" s="41">
        <v>1.0</v>
      </c>
      <c r="U40" s="41">
        <v>0.8095</v>
      </c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36" t="s">
        <v>33</v>
      </c>
      <c r="B41" s="36" t="s">
        <v>116</v>
      </c>
      <c r="C41" s="36">
        <v>37.0</v>
      </c>
      <c r="D41" s="36">
        <v>1.5110625077E10</v>
      </c>
      <c r="E41" s="36">
        <v>2.50002039E8</v>
      </c>
      <c r="F41" s="36" t="s">
        <v>139</v>
      </c>
      <c r="G41" s="40" t="str">
        <f t="shared" si="1"/>
        <v>OK</v>
      </c>
      <c r="H41" s="40">
        <f t="shared" si="2"/>
        <v>1</v>
      </c>
      <c r="I41" s="40">
        <f t="shared" si="3"/>
        <v>244</v>
      </c>
      <c r="J41" s="40">
        <f t="shared" si="4"/>
        <v>0</v>
      </c>
      <c r="K41" s="40"/>
      <c r="L41" s="42">
        <v>1.0</v>
      </c>
      <c r="M41" s="42">
        <v>1.0</v>
      </c>
      <c r="N41" s="42">
        <v>0.8095</v>
      </c>
      <c r="O41" s="45">
        <v>0.2381</v>
      </c>
      <c r="P41" s="42">
        <v>0.619</v>
      </c>
      <c r="Q41" s="42">
        <v>0.5714</v>
      </c>
      <c r="R41" s="42">
        <v>0.9524</v>
      </c>
      <c r="S41" s="42">
        <v>0.95</v>
      </c>
      <c r="T41" s="41">
        <v>1.0</v>
      </c>
      <c r="U41" s="41">
        <v>1.0</v>
      </c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36" t="s">
        <v>33</v>
      </c>
      <c r="B42" s="36" t="s">
        <v>116</v>
      </c>
      <c r="C42" s="36">
        <v>38.0</v>
      </c>
      <c r="D42" s="36">
        <v>1.5110625154E10</v>
      </c>
      <c r="E42" s="36">
        <v>2.50002041E8</v>
      </c>
      <c r="F42" s="36" t="s">
        <v>141</v>
      </c>
      <c r="G42" s="40" t="str">
        <f t="shared" si="1"/>
        <v>OK</v>
      </c>
      <c r="H42" s="40">
        <f t="shared" si="2"/>
        <v>6</v>
      </c>
      <c r="I42" s="40">
        <f t="shared" si="3"/>
        <v>259</v>
      </c>
      <c r="J42" s="40">
        <f t="shared" si="4"/>
        <v>0</v>
      </c>
      <c r="K42" s="40"/>
      <c r="L42" s="42">
        <v>1.0</v>
      </c>
      <c r="M42" s="42">
        <v>0.8824</v>
      </c>
      <c r="N42" s="42">
        <v>0.9524</v>
      </c>
      <c r="O42" s="45">
        <v>0.9048</v>
      </c>
      <c r="P42" s="42">
        <v>0.9048</v>
      </c>
      <c r="Q42" s="42">
        <v>0.9048</v>
      </c>
      <c r="R42" s="42">
        <v>1.0</v>
      </c>
      <c r="S42" s="42">
        <v>0.9</v>
      </c>
      <c r="T42" s="41">
        <v>0.8571</v>
      </c>
      <c r="U42" s="41">
        <v>0.3333</v>
      </c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36" t="s">
        <v>33</v>
      </c>
      <c r="B43" s="36" t="s">
        <v>116</v>
      </c>
      <c r="C43" s="36">
        <v>39.0</v>
      </c>
      <c r="D43" s="36">
        <v>1.5110625164E10</v>
      </c>
      <c r="E43" s="36">
        <v>2.50002042E8</v>
      </c>
      <c r="F43" s="36" t="s">
        <v>144</v>
      </c>
      <c r="G43" s="40" t="str">
        <f t="shared" si="1"/>
        <v>OK</v>
      </c>
      <c r="H43" s="40">
        <f t="shared" si="2"/>
        <v>0</v>
      </c>
      <c r="I43" s="40">
        <f t="shared" si="3"/>
        <v>241</v>
      </c>
      <c r="J43" s="40">
        <f t="shared" si="4"/>
        <v>0</v>
      </c>
      <c r="K43" s="40"/>
      <c r="L43" s="42">
        <v>0.7143</v>
      </c>
      <c r="M43" s="42">
        <v>0.9412</v>
      </c>
      <c r="N43" s="42">
        <v>0.9524</v>
      </c>
      <c r="O43" s="45">
        <v>0.381</v>
      </c>
      <c r="P43" s="42">
        <v>0.9524</v>
      </c>
      <c r="Q43" s="42">
        <v>0.8571</v>
      </c>
      <c r="R43" s="42">
        <v>0.7619</v>
      </c>
      <c r="S43" s="42">
        <v>0.95</v>
      </c>
      <c r="T43" s="41">
        <v>0.8571</v>
      </c>
      <c r="U43" s="41">
        <v>0.6667</v>
      </c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36" t="s">
        <v>33</v>
      </c>
      <c r="B44" s="36" t="s">
        <v>116</v>
      </c>
      <c r="C44" s="36">
        <v>40.0</v>
      </c>
      <c r="D44" s="36">
        <v>1.5110625082E10</v>
      </c>
      <c r="E44" s="36">
        <v>2.50002044E8</v>
      </c>
      <c r="F44" s="36" t="s">
        <v>146</v>
      </c>
      <c r="G44" s="40" t="str">
        <f t="shared" si="1"/>
        <v>OK</v>
      </c>
      <c r="H44" s="40">
        <f t="shared" si="2"/>
        <v>12</v>
      </c>
      <c r="I44" s="40">
        <f t="shared" si="3"/>
        <v>276</v>
      </c>
      <c r="J44" s="40">
        <f t="shared" si="4"/>
        <v>0</v>
      </c>
      <c r="K44" s="40"/>
      <c r="L44" s="42">
        <v>1.0</v>
      </c>
      <c r="M44" s="42">
        <v>1.0</v>
      </c>
      <c r="N44" s="42">
        <v>1.0</v>
      </c>
      <c r="O44" s="45">
        <v>1.0</v>
      </c>
      <c r="P44" s="42">
        <v>0.2857</v>
      </c>
      <c r="Q44" s="42">
        <v>1.0</v>
      </c>
      <c r="R44" s="42">
        <v>0.9524</v>
      </c>
      <c r="S44" s="42">
        <v>0.95</v>
      </c>
      <c r="T44" s="41">
        <v>1.0</v>
      </c>
      <c r="U44" s="41">
        <v>1.0</v>
      </c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36" t="s">
        <v>33</v>
      </c>
      <c r="B45" s="36" t="s">
        <v>116</v>
      </c>
      <c r="C45" s="36">
        <v>41.0</v>
      </c>
      <c r="D45" s="36">
        <v>1.5110625162E10</v>
      </c>
      <c r="E45" s="36">
        <v>2.50002045E8</v>
      </c>
      <c r="F45" s="36" t="s">
        <v>148</v>
      </c>
      <c r="G45" s="40" t="str">
        <f t="shared" si="1"/>
        <v>OK</v>
      </c>
      <c r="H45" s="40">
        <f t="shared" si="2"/>
        <v>16</v>
      </c>
      <c r="I45" s="40">
        <f t="shared" si="3"/>
        <v>289</v>
      </c>
      <c r="J45" s="40">
        <f t="shared" si="4"/>
        <v>0</v>
      </c>
      <c r="K45" s="40"/>
      <c r="L45" s="42">
        <v>1.0</v>
      </c>
      <c r="M45" s="42">
        <v>1.0</v>
      </c>
      <c r="N45" s="42">
        <v>1.0</v>
      </c>
      <c r="O45" s="45">
        <v>1.0</v>
      </c>
      <c r="P45" s="42">
        <v>0.619</v>
      </c>
      <c r="Q45" s="42">
        <v>1.0</v>
      </c>
      <c r="R45" s="42">
        <v>1.0</v>
      </c>
      <c r="S45" s="42">
        <v>1.0</v>
      </c>
      <c r="T45" s="41">
        <v>1.0</v>
      </c>
      <c r="U45" s="41">
        <v>1.0</v>
      </c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36" t="s">
        <v>33</v>
      </c>
      <c r="B46" s="36" t="s">
        <v>116</v>
      </c>
      <c r="C46" s="36">
        <v>42.0</v>
      </c>
      <c r="D46" s="36">
        <v>1.51106251E10</v>
      </c>
      <c r="E46" s="36">
        <v>2.50002046E8</v>
      </c>
      <c r="F46" s="36" t="s">
        <v>150</v>
      </c>
      <c r="G46" s="40" t="str">
        <f t="shared" si="1"/>
        <v>OK</v>
      </c>
      <c r="H46" s="40">
        <f t="shared" si="2"/>
        <v>18</v>
      </c>
      <c r="I46" s="40">
        <f t="shared" si="3"/>
        <v>294</v>
      </c>
      <c r="J46" s="40">
        <f t="shared" si="4"/>
        <v>0</v>
      </c>
      <c r="K46" s="40"/>
      <c r="L46" s="42">
        <v>1.0</v>
      </c>
      <c r="M46" s="42">
        <v>0.9412</v>
      </c>
      <c r="N46" s="42">
        <v>1.0</v>
      </c>
      <c r="O46" s="45">
        <v>0.9524</v>
      </c>
      <c r="P46" s="42">
        <v>0.9048</v>
      </c>
      <c r="Q46" s="42">
        <v>1.0</v>
      </c>
      <c r="R46" s="42">
        <v>1.0</v>
      </c>
      <c r="S46" s="42">
        <v>1.0</v>
      </c>
      <c r="T46" s="41">
        <v>1.0</v>
      </c>
      <c r="U46" s="41">
        <v>1.0</v>
      </c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36" t="s">
        <v>33</v>
      </c>
      <c r="B47" s="36" t="s">
        <v>116</v>
      </c>
      <c r="C47" s="36">
        <v>43.0</v>
      </c>
      <c r="D47" s="36">
        <v>1.5110625014E10</v>
      </c>
      <c r="E47" s="36">
        <v>2.50002047E8</v>
      </c>
      <c r="F47" s="36" t="s">
        <v>151</v>
      </c>
      <c r="G47" s="40" t="str">
        <f t="shared" si="1"/>
        <v>OK</v>
      </c>
      <c r="H47" s="40">
        <f t="shared" si="2"/>
        <v>20</v>
      </c>
      <c r="I47" s="40">
        <f t="shared" si="3"/>
        <v>300</v>
      </c>
      <c r="J47" s="40">
        <f t="shared" si="4"/>
        <v>0</v>
      </c>
      <c r="K47" s="40"/>
      <c r="L47" s="42">
        <v>1.0</v>
      </c>
      <c r="M47" s="42">
        <v>1.0</v>
      </c>
      <c r="N47" s="42">
        <v>1.0</v>
      </c>
      <c r="O47" s="45">
        <v>1.0</v>
      </c>
      <c r="P47" s="42">
        <v>1.0</v>
      </c>
      <c r="Q47" s="42">
        <v>1.0</v>
      </c>
      <c r="R47" s="42">
        <v>1.0</v>
      </c>
      <c r="S47" s="42">
        <v>1.0</v>
      </c>
      <c r="T47" s="41">
        <v>1.0</v>
      </c>
      <c r="U47" s="41">
        <v>1.0</v>
      </c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36" t="s">
        <v>33</v>
      </c>
      <c r="B48" s="36" t="s">
        <v>116</v>
      </c>
      <c r="C48" s="36">
        <v>44.0</v>
      </c>
      <c r="D48" s="36">
        <v>1.5110625067E10</v>
      </c>
      <c r="E48" s="36">
        <v>2.50002048E8</v>
      </c>
      <c r="F48" s="36" t="s">
        <v>154</v>
      </c>
      <c r="G48" s="40" t="str">
        <f t="shared" si="1"/>
        <v>OK</v>
      </c>
      <c r="H48" s="40">
        <f t="shared" si="2"/>
        <v>20</v>
      </c>
      <c r="I48" s="40">
        <f t="shared" si="3"/>
        <v>299</v>
      </c>
      <c r="J48" s="40">
        <f t="shared" si="4"/>
        <v>0</v>
      </c>
      <c r="K48" s="40"/>
      <c r="L48" s="42">
        <v>1.0</v>
      </c>
      <c r="M48" s="42">
        <v>1.0</v>
      </c>
      <c r="N48" s="42">
        <v>1.0</v>
      </c>
      <c r="O48" s="45">
        <v>1.0</v>
      </c>
      <c r="P48" s="42">
        <v>1.0</v>
      </c>
      <c r="Q48" s="42">
        <v>1.0</v>
      </c>
      <c r="R48" s="42">
        <v>0.9524</v>
      </c>
      <c r="S48" s="42">
        <v>1.0</v>
      </c>
      <c r="T48" s="41">
        <v>1.0</v>
      </c>
      <c r="U48" s="41">
        <v>1.0</v>
      </c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36" t="s">
        <v>33</v>
      </c>
      <c r="B49" s="36" t="s">
        <v>116</v>
      </c>
      <c r="C49" s="36">
        <v>45.0</v>
      </c>
      <c r="D49" s="36">
        <v>1.5110625075E10</v>
      </c>
      <c r="E49" s="36">
        <v>2.50002049E8</v>
      </c>
      <c r="F49" s="36" t="s">
        <v>155</v>
      </c>
      <c r="G49" s="40" t="str">
        <f t="shared" si="1"/>
        <v>OK</v>
      </c>
      <c r="H49" s="40">
        <f t="shared" si="2"/>
        <v>20</v>
      </c>
      <c r="I49" s="40">
        <f t="shared" si="3"/>
        <v>300</v>
      </c>
      <c r="J49" s="40">
        <f t="shared" si="4"/>
        <v>0</v>
      </c>
      <c r="K49" s="40"/>
      <c r="L49" s="42">
        <v>1.0</v>
      </c>
      <c r="M49" s="42">
        <v>1.0</v>
      </c>
      <c r="N49" s="42">
        <v>1.0</v>
      </c>
      <c r="O49" s="45">
        <v>1.0</v>
      </c>
      <c r="P49" s="42">
        <v>1.0</v>
      </c>
      <c r="Q49" s="42">
        <v>1.0</v>
      </c>
      <c r="R49" s="42">
        <v>1.0</v>
      </c>
      <c r="S49" s="42">
        <v>1.0</v>
      </c>
      <c r="T49" s="41">
        <v>1.0</v>
      </c>
      <c r="U49" s="41">
        <v>1.0</v>
      </c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36" t="s">
        <v>33</v>
      </c>
      <c r="B50" s="36" t="s">
        <v>116</v>
      </c>
      <c r="C50" s="36">
        <v>46.0</v>
      </c>
      <c r="D50" s="36">
        <v>1.5110625072E10</v>
      </c>
      <c r="E50" s="36">
        <v>2.5000205E8</v>
      </c>
      <c r="F50" s="36" t="s">
        <v>157</v>
      </c>
      <c r="G50" s="40" t="str">
        <f t="shared" si="1"/>
        <v>OK</v>
      </c>
      <c r="H50" s="40">
        <f t="shared" si="2"/>
        <v>17</v>
      </c>
      <c r="I50" s="40">
        <f t="shared" si="3"/>
        <v>290</v>
      </c>
      <c r="J50" s="40">
        <f t="shared" si="4"/>
        <v>0</v>
      </c>
      <c r="K50" s="40"/>
      <c r="L50" s="42">
        <v>1.0</v>
      </c>
      <c r="M50" s="42">
        <v>0.7059</v>
      </c>
      <c r="N50" s="42">
        <v>1.0</v>
      </c>
      <c r="O50" s="45">
        <v>0.9524</v>
      </c>
      <c r="P50" s="42">
        <v>1.0</v>
      </c>
      <c r="Q50" s="42">
        <v>1.0</v>
      </c>
      <c r="R50" s="42">
        <v>1.0</v>
      </c>
      <c r="S50" s="42">
        <v>1.0</v>
      </c>
      <c r="T50" s="41">
        <v>1.0</v>
      </c>
      <c r="U50" s="41">
        <v>1.0</v>
      </c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36" t="s">
        <v>33</v>
      </c>
      <c r="B51" s="36" t="s">
        <v>116</v>
      </c>
      <c r="C51" s="36">
        <v>47.0</v>
      </c>
      <c r="D51" s="36">
        <v>1.5110625078E10</v>
      </c>
      <c r="E51" s="36">
        <v>2.50002051E8</v>
      </c>
      <c r="F51" s="36" t="s">
        <v>160</v>
      </c>
      <c r="G51" s="40" t="str">
        <f t="shared" si="1"/>
        <v>OK</v>
      </c>
      <c r="H51" s="40">
        <f t="shared" si="2"/>
        <v>20</v>
      </c>
      <c r="I51" s="40">
        <f t="shared" si="3"/>
        <v>300</v>
      </c>
      <c r="J51" s="40">
        <f t="shared" si="4"/>
        <v>0</v>
      </c>
      <c r="K51" s="40"/>
      <c r="L51" s="42">
        <v>1.0</v>
      </c>
      <c r="M51" s="42">
        <v>1.0</v>
      </c>
      <c r="N51" s="42">
        <v>1.0</v>
      </c>
      <c r="O51" s="45">
        <v>1.0</v>
      </c>
      <c r="P51" s="42">
        <v>1.0</v>
      </c>
      <c r="Q51" s="42">
        <v>1.0</v>
      </c>
      <c r="R51" s="42">
        <v>1.0</v>
      </c>
      <c r="S51" s="42">
        <v>1.0</v>
      </c>
      <c r="T51" s="41">
        <v>1.0</v>
      </c>
      <c r="U51" s="41">
        <v>1.0</v>
      </c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36" t="s">
        <v>33</v>
      </c>
      <c r="B52" s="36" t="s">
        <v>116</v>
      </c>
      <c r="C52" s="36">
        <v>48.0</v>
      </c>
      <c r="D52" s="36">
        <v>1.5110625095E10</v>
      </c>
      <c r="E52" s="36">
        <v>2.50002052E8</v>
      </c>
      <c r="F52" s="36" t="s">
        <v>162</v>
      </c>
      <c r="G52" s="40" t="str">
        <f t="shared" si="1"/>
        <v>OK</v>
      </c>
      <c r="H52" s="40">
        <f t="shared" si="2"/>
        <v>8</v>
      </c>
      <c r="I52" s="40">
        <f t="shared" si="3"/>
        <v>263</v>
      </c>
      <c r="J52" s="40">
        <f t="shared" si="4"/>
        <v>0</v>
      </c>
      <c r="K52" s="40"/>
      <c r="L52" s="42">
        <v>0.4286</v>
      </c>
      <c r="M52" s="42">
        <v>1.0</v>
      </c>
      <c r="N52" s="42">
        <v>1.0</v>
      </c>
      <c r="O52" s="45">
        <v>1.0</v>
      </c>
      <c r="P52" s="42">
        <v>0.9048</v>
      </c>
      <c r="Q52" s="42">
        <v>0.9524</v>
      </c>
      <c r="R52" s="42">
        <v>0.9524</v>
      </c>
      <c r="S52" s="42">
        <v>0.8</v>
      </c>
      <c r="T52" s="41">
        <v>0.8571</v>
      </c>
      <c r="U52" s="41">
        <v>0.8571</v>
      </c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36" t="s">
        <v>33</v>
      </c>
      <c r="B53" s="36" t="s">
        <v>116</v>
      </c>
      <c r="C53" s="36">
        <v>49.0</v>
      </c>
      <c r="D53" s="36">
        <v>1.5110625052E10</v>
      </c>
      <c r="E53" s="36">
        <v>2.50002053E8</v>
      </c>
      <c r="F53" s="36" t="s">
        <v>164</v>
      </c>
      <c r="G53" s="40" t="str">
        <f t="shared" si="1"/>
        <v>Pending</v>
      </c>
      <c r="H53" s="40">
        <f t="shared" si="2"/>
        <v>-76</v>
      </c>
      <c r="I53" s="40">
        <f t="shared" si="3"/>
        <v>12</v>
      </c>
      <c r="J53" s="40">
        <f t="shared" si="4"/>
        <v>228</v>
      </c>
      <c r="K53" s="40"/>
      <c r="L53" s="42">
        <v>0.0476</v>
      </c>
      <c r="M53" s="42">
        <v>0.0588</v>
      </c>
      <c r="N53" s="42">
        <v>0.0476</v>
      </c>
      <c r="O53" s="45">
        <v>0.0</v>
      </c>
      <c r="P53" s="42">
        <v>0.0952</v>
      </c>
      <c r="Q53" s="42">
        <v>0.0476</v>
      </c>
      <c r="R53" s="42">
        <v>0.0476</v>
      </c>
      <c r="S53" s="42">
        <v>0.0</v>
      </c>
      <c r="T53" s="41">
        <v>0.0</v>
      </c>
      <c r="U53" s="41">
        <v>0.0476</v>
      </c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36" t="s">
        <v>33</v>
      </c>
      <c r="B54" s="36" t="s">
        <v>116</v>
      </c>
      <c r="C54" s="36">
        <v>50.0</v>
      </c>
      <c r="D54" s="36">
        <v>1.5110625003E10</v>
      </c>
      <c r="E54" s="36">
        <v>2.50002054E8</v>
      </c>
      <c r="F54" s="36" t="s">
        <v>166</v>
      </c>
      <c r="G54" s="40" t="str">
        <f t="shared" si="1"/>
        <v>OK</v>
      </c>
      <c r="H54" s="40">
        <f t="shared" si="2"/>
        <v>12</v>
      </c>
      <c r="I54" s="40">
        <f t="shared" si="3"/>
        <v>277</v>
      </c>
      <c r="J54" s="40">
        <f t="shared" si="4"/>
        <v>0</v>
      </c>
      <c r="K54" s="40"/>
      <c r="L54" s="42">
        <v>1.0</v>
      </c>
      <c r="M54" s="42">
        <v>1.0</v>
      </c>
      <c r="N54" s="42">
        <v>0.8095</v>
      </c>
      <c r="O54" s="45">
        <v>0.8095</v>
      </c>
      <c r="P54" s="42">
        <v>1.0</v>
      </c>
      <c r="Q54" s="42">
        <v>0.7619</v>
      </c>
      <c r="R54" s="42">
        <v>1.0</v>
      </c>
      <c r="S54" s="42">
        <v>0.95</v>
      </c>
      <c r="T54" s="41">
        <v>0.9524</v>
      </c>
      <c r="U54" s="41">
        <v>0.9524</v>
      </c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36" t="s">
        <v>33</v>
      </c>
      <c r="B55" s="36" t="s">
        <v>116</v>
      </c>
      <c r="C55" s="36">
        <v>51.0</v>
      </c>
      <c r="D55" s="36">
        <v>1.5110625163E10</v>
      </c>
      <c r="E55" s="36">
        <v>2.50002055E8</v>
      </c>
      <c r="F55" s="36" t="s">
        <v>168</v>
      </c>
      <c r="G55" s="40" t="str">
        <f t="shared" si="1"/>
        <v>OK</v>
      </c>
      <c r="H55" s="40">
        <f t="shared" si="2"/>
        <v>4</v>
      </c>
      <c r="I55" s="40">
        <f t="shared" si="3"/>
        <v>251</v>
      </c>
      <c r="J55" s="40">
        <f t="shared" si="4"/>
        <v>0</v>
      </c>
      <c r="K55" s="40"/>
      <c r="L55" s="42">
        <v>0.1905</v>
      </c>
      <c r="M55" s="42">
        <v>0.6471</v>
      </c>
      <c r="N55" s="42">
        <v>0.9524</v>
      </c>
      <c r="O55" s="45">
        <v>0.9524</v>
      </c>
      <c r="P55" s="42">
        <v>0.9048</v>
      </c>
      <c r="Q55" s="42">
        <v>0.9524</v>
      </c>
      <c r="R55" s="42">
        <v>0.9524</v>
      </c>
      <c r="S55" s="42">
        <v>0.95</v>
      </c>
      <c r="T55" s="41">
        <v>0.9524</v>
      </c>
      <c r="U55" s="41">
        <v>0.9048</v>
      </c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36" t="s">
        <v>33</v>
      </c>
      <c r="B56" s="36" t="s">
        <v>116</v>
      </c>
      <c r="C56" s="36">
        <v>52.0</v>
      </c>
      <c r="D56" s="36">
        <v>1.5110625011E10</v>
      </c>
      <c r="E56" s="36">
        <v>2.50002057E8</v>
      </c>
      <c r="F56" s="36" t="s">
        <v>170</v>
      </c>
      <c r="G56" s="40" t="str">
        <f t="shared" si="1"/>
        <v>OK</v>
      </c>
      <c r="H56" s="40">
        <f t="shared" si="2"/>
        <v>18</v>
      </c>
      <c r="I56" s="40">
        <f t="shared" si="3"/>
        <v>293</v>
      </c>
      <c r="J56" s="40">
        <f t="shared" si="4"/>
        <v>0</v>
      </c>
      <c r="K56" s="40"/>
      <c r="L56" s="42">
        <v>0.9524</v>
      </c>
      <c r="M56" s="42">
        <v>1.0</v>
      </c>
      <c r="N56" s="42">
        <v>1.0</v>
      </c>
      <c r="O56" s="45">
        <v>1.0</v>
      </c>
      <c r="P56" s="42">
        <v>0.8095</v>
      </c>
      <c r="Q56" s="42">
        <v>1.0</v>
      </c>
      <c r="R56" s="42">
        <v>1.0</v>
      </c>
      <c r="S56" s="42">
        <v>1.0</v>
      </c>
      <c r="T56" s="41">
        <v>1.0</v>
      </c>
      <c r="U56" s="41">
        <v>1.0</v>
      </c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36" t="s">
        <v>33</v>
      </c>
      <c r="B57" s="36" t="s">
        <v>116</v>
      </c>
      <c r="C57" s="36">
        <v>54.0</v>
      </c>
      <c r="D57" s="36">
        <v>1.5110625129E10</v>
      </c>
      <c r="E57" s="36">
        <v>2.5000206E8</v>
      </c>
      <c r="F57" s="36" t="s">
        <v>172</v>
      </c>
      <c r="G57" s="40" t="str">
        <f t="shared" si="1"/>
        <v>OK</v>
      </c>
      <c r="H57" s="40">
        <f t="shared" si="2"/>
        <v>6</v>
      </c>
      <c r="I57" s="40">
        <f t="shared" si="3"/>
        <v>258</v>
      </c>
      <c r="J57" s="40">
        <f t="shared" si="4"/>
        <v>0</v>
      </c>
      <c r="K57" s="40"/>
      <c r="L57" s="42">
        <v>0.8095</v>
      </c>
      <c r="M57" s="42">
        <v>0.9412</v>
      </c>
      <c r="N57" s="42">
        <v>0.9048</v>
      </c>
      <c r="O57" s="45">
        <v>0.381</v>
      </c>
      <c r="P57" s="42">
        <v>0.9048</v>
      </c>
      <c r="Q57" s="42">
        <v>0.9524</v>
      </c>
      <c r="R57" s="42">
        <v>0.9048</v>
      </c>
      <c r="S57" s="42">
        <v>1.0</v>
      </c>
      <c r="T57" s="41">
        <v>0.9524</v>
      </c>
      <c r="U57" s="41">
        <v>0.8571</v>
      </c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36" t="s">
        <v>33</v>
      </c>
      <c r="B58" s="36" t="s">
        <v>116</v>
      </c>
      <c r="C58" s="36">
        <v>55.0</v>
      </c>
      <c r="D58" s="36">
        <v>1.511062507E10</v>
      </c>
      <c r="E58" s="36">
        <v>2.50002061E8</v>
      </c>
      <c r="F58" s="36" t="s">
        <v>174</v>
      </c>
      <c r="G58" s="40" t="str">
        <f t="shared" si="1"/>
        <v>OK</v>
      </c>
      <c r="H58" s="40">
        <f t="shared" si="2"/>
        <v>17</v>
      </c>
      <c r="I58" s="40">
        <f t="shared" si="3"/>
        <v>290</v>
      </c>
      <c r="J58" s="40">
        <f t="shared" si="4"/>
        <v>0</v>
      </c>
      <c r="K58" s="40"/>
      <c r="L58" s="42">
        <v>1.0</v>
      </c>
      <c r="M58" s="42">
        <v>0.9412</v>
      </c>
      <c r="N58" s="42">
        <v>1.0</v>
      </c>
      <c r="O58" s="45">
        <v>0.9524</v>
      </c>
      <c r="P58" s="42">
        <v>0.9048</v>
      </c>
      <c r="Q58" s="42">
        <v>1.0</v>
      </c>
      <c r="R58" s="42">
        <v>0.9524</v>
      </c>
      <c r="S58" s="42">
        <v>0.95</v>
      </c>
      <c r="T58" s="41">
        <v>1.0</v>
      </c>
      <c r="U58" s="41">
        <v>0.9524</v>
      </c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36" t="s">
        <v>33</v>
      </c>
      <c r="B59" s="36" t="s">
        <v>116</v>
      </c>
      <c r="C59" s="36">
        <v>56.0</v>
      </c>
      <c r="D59" s="36">
        <v>1.5110625079E10</v>
      </c>
      <c r="E59" s="36">
        <v>2.50002062E8</v>
      </c>
      <c r="F59" s="36" t="s">
        <v>176</v>
      </c>
      <c r="G59" s="40" t="str">
        <f t="shared" si="1"/>
        <v>OK</v>
      </c>
      <c r="H59" s="40">
        <f t="shared" si="2"/>
        <v>18</v>
      </c>
      <c r="I59" s="40">
        <f t="shared" si="3"/>
        <v>293</v>
      </c>
      <c r="J59" s="40">
        <f t="shared" si="4"/>
        <v>0</v>
      </c>
      <c r="K59" s="40"/>
      <c r="L59" s="42">
        <v>1.0</v>
      </c>
      <c r="M59" s="42">
        <v>0.7647</v>
      </c>
      <c r="N59" s="42">
        <v>1.0</v>
      </c>
      <c r="O59" s="45">
        <v>1.0</v>
      </c>
      <c r="P59" s="42">
        <v>1.0</v>
      </c>
      <c r="Q59" s="42">
        <v>1.0</v>
      </c>
      <c r="R59" s="42">
        <v>1.0</v>
      </c>
      <c r="S59" s="42">
        <v>1.0</v>
      </c>
      <c r="T59" s="41">
        <v>1.0</v>
      </c>
      <c r="U59" s="41">
        <v>1.0</v>
      </c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36" t="s">
        <v>33</v>
      </c>
      <c r="B60" s="36" t="s">
        <v>178</v>
      </c>
      <c r="C60" s="36">
        <v>57.0</v>
      </c>
      <c r="D60" s="36">
        <v>1.5110625008E10</v>
      </c>
      <c r="E60" s="36">
        <v>2.50002063E8</v>
      </c>
      <c r="F60" s="36" t="s">
        <v>179</v>
      </c>
      <c r="G60" s="40" t="str">
        <f t="shared" si="1"/>
        <v>OK</v>
      </c>
      <c r="H60" s="40">
        <f t="shared" si="2"/>
        <v>3</v>
      </c>
      <c r="I60" s="40">
        <f t="shared" si="3"/>
        <v>249</v>
      </c>
      <c r="J60" s="40">
        <f t="shared" si="4"/>
        <v>0</v>
      </c>
      <c r="K60" s="40"/>
      <c r="L60" s="42">
        <v>0.4286</v>
      </c>
      <c r="M60" s="42">
        <v>1.0</v>
      </c>
      <c r="N60" s="42">
        <v>0.8095</v>
      </c>
      <c r="O60" s="45">
        <v>0.8095</v>
      </c>
      <c r="P60" s="42">
        <v>1.0</v>
      </c>
      <c r="Q60" s="42">
        <v>0.8571</v>
      </c>
      <c r="R60" s="42">
        <v>0.9048</v>
      </c>
      <c r="S60" s="42">
        <v>0.619</v>
      </c>
      <c r="T60" s="41">
        <v>1.0</v>
      </c>
      <c r="U60" s="41">
        <v>0.8571</v>
      </c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36" t="s">
        <v>33</v>
      </c>
      <c r="B61" s="36" t="s">
        <v>178</v>
      </c>
      <c r="C61" s="36">
        <v>59.0</v>
      </c>
      <c r="D61" s="36">
        <v>1.5110625152E10</v>
      </c>
      <c r="E61" s="36">
        <v>2.50002065E8</v>
      </c>
      <c r="F61" s="36" t="s">
        <v>182</v>
      </c>
      <c r="G61" s="40" t="str">
        <f t="shared" si="1"/>
        <v>OK</v>
      </c>
      <c r="H61" s="40">
        <f t="shared" si="2"/>
        <v>1</v>
      </c>
      <c r="I61" s="40">
        <f t="shared" si="3"/>
        <v>243</v>
      </c>
      <c r="J61" s="40">
        <f t="shared" si="4"/>
        <v>0</v>
      </c>
      <c r="K61" s="40"/>
      <c r="L61" s="42">
        <v>0.9048</v>
      </c>
      <c r="M61" s="42">
        <v>0.3529</v>
      </c>
      <c r="N61" s="42">
        <v>0.6667</v>
      </c>
      <c r="O61" s="45">
        <v>0.9048</v>
      </c>
      <c r="P61" s="42">
        <v>0.8571</v>
      </c>
      <c r="Q61" s="42">
        <v>0.9048</v>
      </c>
      <c r="R61" s="42">
        <v>0.8571</v>
      </c>
      <c r="S61" s="42">
        <v>0.9048</v>
      </c>
      <c r="T61" s="41">
        <v>0.8095</v>
      </c>
      <c r="U61" s="41">
        <v>0.9524</v>
      </c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36" t="s">
        <v>33</v>
      </c>
      <c r="B62" s="36" t="s">
        <v>178</v>
      </c>
      <c r="C62" s="36">
        <v>60.0</v>
      </c>
      <c r="D62" s="36">
        <v>1.5110625071E10</v>
      </c>
      <c r="E62" s="36">
        <v>2.50002066E8</v>
      </c>
      <c r="F62" s="36" t="s">
        <v>185</v>
      </c>
      <c r="G62" s="40" t="str">
        <f t="shared" si="1"/>
        <v>OK</v>
      </c>
      <c r="H62" s="40">
        <f t="shared" si="2"/>
        <v>11</v>
      </c>
      <c r="I62" s="40">
        <f t="shared" si="3"/>
        <v>274</v>
      </c>
      <c r="J62" s="40">
        <f t="shared" si="4"/>
        <v>0</v>
      </c>
      <c r="K62" s="40"/>
      <c r="L62" s="42">
        <v>1.0</v>
      </c>
      <c r="M62" s="42">
        <v>0.7059</v>
      </c>
      <c r="N62" s="42">
        <v>1.0</v>
      </c>
      <c r="O62" s="45">
        <v>1.0</v>
      </c>
      <c r="P62" s="42">
        <v>0.9524</v>
      </c>
      <c r="Q62" s="42">
        <v>0.5714</v>
      </c>
      <c r="R62" s="42">
        <v>1.0</v>
      </c>
      <c r="S62" s="42">
        <v>1.0</v>
      </c>
      <c r="T62" s="41">
        <v>0.9524</v>
      </c>
      <c r="U62" s="41">
        <v>0.9524</v>
      </c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36" t="s">
        <v>33</v>
      </c>
      <c r="B63" s="36" t="s">
        <v>178</v>
      </c>
      <c r="C63" s="36">
        <v>61.0</v>
      </c>
      <c r="D63" s="36">
        <v>1.5110625025E10</v>
      </c>
      <c r="E63" s="36">
        <v>2.50002067E8</v>
      </c>
      <c r="F63" s="36" t="s">
        <v>187</v>
      </c>
      <c r="G63" s="40" t="str">
        <f t="shared" si="1"/>
        <v>OK</v>
      </c>
      <c r="H63" s="40">
        <f t="shared" si="2"/>
        <v>20</v>
      </c>
      <c r="I63" s="40">
        <f t="shared" si="3"/>
        <v>300</v>
      </c>
      <c r="J63" s="40">
        <f t="shared" si="4"/>
        <v>0</v>
      </c>
      <c r="K63" s="40"/>
      <c r="L63" s="42">
        <v>1.0</v>
      </c>
      <c r="M63" s="42">
        <v>1.0</v>
      </c>
      <c r="N63" s="42">
        <v>1.0</v>
      </c>
      <c r="O63" s="45">
        <v>1.0</v>
      </c>
      <c r="P63" s="42">
        <v>1.0</v>
      </c>
      <c r="Q63" s="42">
        <v>1.0</v>
      </c>
      <c r="R63" s="42">
        <v>1.0</v>
      </c>
      <c r="S63" s="42">
        <v>1.0</v>
      </c>
      <c r="T63" s="41">
        <v>1.0</v>
      </c>
      <c r="U63" s="41">
        <v>1.0</v>
      </c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36" t="s">
        <v>33</v>
      </c>
      <c r="B64" s="36" t="s">
        <v>178</v>
      </c>
      <c r="C64" s="36">
        <v>62.0</v>
      </c>
      <c r="D64" s="36">
        <v>1.5110625091E10</v>
      </c>
      <c r="E64" s="36">
        <v>2.50002068E8</v>
      </c>
      <c r="F64" s="36" t="s">
        <v>189</v>
      </c>
      <c r="G64" s="40" t="str">
        <f t="shared" si="1"/>
        <v>OK</v>
      </c>
      <c r="H64" s="40">
        <f t="shared" si="2"/>
        <v>13</v>
      </c>
      <c r="I64" s="40">
        <f t="shared" si="3"/>
        <v>278</v>
      </c>
      <c r="J64" s="40">
        <f t="shared" si="4"/>
        <v>0</v>
      </c>
      <c r="K64" s="40"/>
      <c r="L64" s="42">
        <v>1.0</v>
      </c>
      <c r="M64" s="42">
        <v>0.8824</v>
      </c>
      <c r="N64" s="42">
        <v>0.8571</v>
      </c>
      <c r="O64" s="45">
        <v>0.9524</v>
      </c>
      <c r="P64" s="42">
        <v>0.8095</v>
      </c>
      <c r="Q64" s="42">
        <v>1.0</v>
      </c>
      <c r="R64" s="42">
        <v>0.9524</v>
      </c>
      <c r="S64" s="42">
        <v>0.9524</v>
      </c>
      <c r="T64" s="41">
        <v>0.9524</v>
      </c>
      <c r="U64" s="41">
        <v>0.9048</v>
      </c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36" t="s">
        <v>33</v>
      </c>
      <c r="B65" s="36" t="s">
        <v>178</v>
      </c>
      <c r="C65" s="36">
        <v>64.0</v>
      </c>
      <c r="D65" s="36">
        <v>1.5110625022E10</v>
      </c>
      <c r="E65" s="36">
        <v>2.5000207E8</v>
      </c>
      <c r="F65" s="36" t="s">
        <v>191</v>
      </c>
      <c r="G65" s="40" t="str">
        <f t="shared" si="1"/>
        <v>Pending</v>
      </c>
      <c r="H65" s="40">
        <f t="shared" si="2"/>
        <v>-12</v>
      </c>
      <c r="I65" s="40">
        <f t="shared" si="3"/>
        <v>205</v>
      </c>
      <c r="J65" s="40">
        <f t="shared" si="4"/>
        <v>35</v>
      </c>
      <c r="K65" s="40"/>
      <c r="L65" s="42">
        <v>0.0476</v>
      </c>
      <c r="M65" s="42">
        <v>0.6471</v>
      </c>
      <c r="N65" s="42">
        <v>0.7619</v>
      </c>
      <c r="O65" s="45">
        <v>0.9048</v>
      </c>
      <c r="P65" s="42">
        <v>0.6667</v>
      </c>
      <c r="Q65" s="42">
        <v>0.9524</v>
      </c>
      <c r="R65" s="42">
        <v>0.9524</v>
      </c>
      <c r="S65" s="42">
        <v>0.8095</v>
      </c>
      <c r="T65" s="41">
        <v>0.5714</v>
      </c>
      <c r="U65" s="41">
        <v>0.5238</v>
      </c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36" t="s">
        <v>33</v>
      </c>
      <c r="B66" s="36" t="s">
        <v>178</v>
      </c>
      <c r="C66" s="36">
        <v>65.0</v>
      </c>
      <c r="D66" s="36">
        <v>1.5110625098E10</v>
      </c>
      <c r="E66" s="36">
        <v>2.50002071E8</v>
      </c>
      <c r="F66" s="36" t="s">
        <v>193</v>
      </c>
      <c r="G66" s="40" t="str">
        <f t="shared" si="1"/>
        <v>OK</v>
      </c>
      <c r="H66" s="40">
        <f t="shared" si="2"/>
        <v>11</v>
      </c>
      <c r="I66" s="40">
        <f t="shared" si="3"/>
        <v>273</v>
      </c>
      <c r="J66" s="40">
        <f t="shared" si="4"/>
        <v>0</v>
      </c>
      <c r="K66" s="40"/>
      <c r="L66" s="42">
        <v>0.9048</v>
      </c>
      <c r="M66" s="42">
        <v>0.9412</v>
      </c>
      <c r="N66" s="42">
        <v>0.9524</v>
      </c>
      <c r="O66" s="45">
        <v>0.9048</v>
      </c>
      <c r="P66" s="42">
        <v>0.8571</v>
      </c>
      <c r="Q66" s="42">
        <v>1.0</v>
      </c>
      <c r="R66" s="42">
        <v>0.9524</v>
      </c>
      <c r="S66" s="42">
        <v>0.9048</v>
      </c>
      <c r="T66" s="41">
        <v>0.8571</v>
      </c>
      <c r="U66" s="41">
        <v>0.8095</v>
      </c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36" t="s">
        <v>33</v>
      </c>
      <c r="B67" s="36" t="s">
        <v>178</v>
      </c>
      <c r="C67" s="36">
        <v>67.0</v>
      </c>
      <c r="D67" s="36">
        <v>1.5110625069E10</v>
      </c>
      <c r="E67" s="36">
        <v>2.50002073E8</v>
      </c>
      <c r="F67" s="36" t="s">
        <v>195</v>
      </c>
      <c r="G67" s="40" t="str">
        <f t="shared" si="1"/>
        <v>OK</v>
      </c>
      <c r="H67" s="40">
        <f t="shared" si="2"/>
        <v>15</v>
      </c>
      <c r="I67" s="40">
        <f t="shared" si="3"/>
        <v>284</v>
      </c>
      <c r="J67" s="40">
        <f t="shared" si="4"/>
        <v>0</v>
      </c>
      <c r="K67" s="40"/>
      <c r="L67" s="42">
        <v>0.9048</v>
      </c>
      <c r="M67" s="42">
        <v>1.0</v>
      </c>
      <c r="N67" s="42">
        <v>0.9524</v>
      </c>
      <c r="O67" s="45">
        <v>1.0</v>
      </c>
      <c r="P67" s="42">
        <v>1.0</v>
      </c>
      <c r="Q67" s="42">
        <v>1.0</v>
      </c>
      <c r="R67" s="42">
        <v>1.0</v>
      </c>
      <c r="S67" s="42">
        <v>0.7143</v>
      </c>
      <c r="T67" s="41">
        <v>0.9524</v>
      </c>
      <c r="U67" s="41">
        <v>0.9524</v>
      </c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36" t="s">
        <v>33</v>
      </c>
      <c r="B68" s="36" t="s">
        <v>178</v>
      </c>
      <c r="C68" s="36">
        <v>68.0</v>
      </c>
      <c r="D68" s="36">
        <v>1.5110625002E10</v>
      </c>
      <c r="E68" s="36">
        <v>2.50002074E8</v>
      </c>
      <c r="F68" s="36" t="s">
        <v>197</v>
      </c>
      <c r="G68" s="40" t="str">
        <f t="shared" si="1"/>
        <v>OK</v>
      </c>
      <c r="H68" s="40">
        <f t="shared" si="2"/>
        <v>12</v>
      </c>
      <c r="I68" s="40">
        <f t="shared" si="3"/>
        <v>277</v>
      </c>
      <c r="J68" s="40">
        <f t="shared" si="4"/>
        <v>0</v>
      </c>
      <c r="K68" s="40"/>
      <c r="L68" s="42">
        <v>0.8571</v>
      </c>
      <c r="M68" s="42">
        <v>1.0</v>
      </c>
      <c r="N68" s="42">
        <v>0.7619</v>
      </c>
      <c r="O68" s="45">
        <v>1.0</v>
      </c>
      <c r="P68" s="42">
        <v>1.0</v>
      </c>
      <c r="Q68" s="42">
        <v>0.8095</v>
      </c>
      <c r="R68" s="42">
        <v>0.9524</v>
      </c>
      <c r="S68" s="42">
        <v>1.0</v>
      </c>
      <c r="T68" s="41">
        <v>1.0</v>
      </c>
      <c r="U68" s="41">
        <v>0.8571</v>
      </c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36" t="s">
        <v>33</v>
      </c>
      <c r="B69" s="36" t="s">
        <v>178</v>
      </c>
      <c r="C69" s="36">
        <v>69.0</v>
      </c>
      <c r="D69" s="36">
        <v>1.5110625046E10</v>
      </c>
      <c r="E69" s="36">
        <v>2.50002075E8</v>
      </c>
      <c r="F69" s="36" t="s">
        <v>199</v>
      </c>
      <c r="G69" s="40" t="str">
        <f t="shared" si="1"/>
        <v>Pending</v>
      </c>
      <c r="H69" s="40">
        <f t="shared" si="2"/>
        <v>-31</v>
      </c>
      <c r="I69" s="40">
        <f t="shared" si="3"/>
        <v>146</v>
      </c>
      <c r="J69" s="40">
        <f t="shared" si="4"/>
        <v>94</v>
      </c>
      <c r="K69" s="40"/>
      <c r="L69" s="42">
        <v>0.0</v>
      </c>
      <c r="M69" s="42">
        <v>0.0</v>
      </c>
      <c r="N69" s="42">
        <v>0.0952</v>
      </c>
      <c r="O69" s="45">
        <v>0.0</v>
      </c>
      <c r="P69" s="42">
        <v>0.4762</v>
      </c>
      <c r="Q69" s="42">
        <v>0.9524</v>
      </c>
      <c r="R69" s="42">
        <v>0.7143</v>
      </c>
      <c r="S69" s="42">
        <v>1.0</v>
      </c>
      <c r="T69" s="41">
        <v>0.8095</v>
      </c>
      <c r="U69" s="41">
        <v>0.8095</v>
      </c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36" t="s">
        <v>33</v>
      </c>
      <c r="B70" s="36" t="s">
        <v>178</v>
      </c>
      <c r="C70" s="36">
        <v>70.0</v>
      </c>
      <c r="D70" s="36">
        <v>1.511062512E10</v>
      </c>
      <c r="E70" s="36">
        <v>2.50002076E8</v>
      </c>
      <c r="F70" s="36" t="s">
        <v>201</v>
      </c>
      <c r="G70" s="40" t="str">
        <f t="shared" si="1"/>
        <v>OK</v>
      </c>
      <c r="H70" s="40">
        <f t="shared" si="2"/>
        <v>14</v>
      </c>
      <c r="I70" s="40">
        <f t="shared" si="3"/>
        <v>283</v>
      </c>
      <c r="J70" s="40">
        <f t="shared" si="4"/>
        <v>0</v>
      </c>
      <c r="K70" s="40"/>
      <c r="L70" s="42">
        <v>0.6667</v>
      </c>
      <c r="M70" s="42">
        <v>1.0</v>
      </c>
      <c r="N70" s="42">
        <v>1.0</v>
      </c>
      <c r="O70" s="45">
        <v>1.0</v>
      </c>
      <c r="P70" s="42">
        <v>0.9048</v>
      </c>
      <c r="Q70" s="42">
        <v>1.0</v>
      </c>
      <c r="R70" s="42">
        <v>0.9048</v>
      </c>
      <c r="S70" s="42">
        <v>1.0</v>
      </c>
      <c r="T70" s="41">
        <v>1.0</v>
      </c>
      <c r="U70" s="41">
        <v>0.9524</v>
      </c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36" t="s">
        <v>33</v>
      </c>
      <c r="B71" s="36" t="s">
        <v>178</v>
      </c>
      <c r="C71" s="36">
        <v>71.0</v>
      </c>
      <c r="D71" s="36">
        <v>1.5110625024E10</v>
      </c>
      <c r="E71" s="36">
        <v>2.50002077E8</v>
      </c>
      <c r="F71" s="36" t="s">
        <v>203</v>
      </c>
      <c r="G71" s="40" t="str">
        <f t="shared" si="1"/>
        <v>OK</v>
      </c>
      <c r="H71" s="40">
        <f t="shared" si="2"/>
        <v>13</v>
      </c>
      <c r="I71" s="40">
        <f t="shared" si="3"/>
        <v>280</v>
      </c>
      <c r="J71" s="40">
        <f t="shared" si="4"/>
        <v>0</v>
      </c>
      <c r="K71" s="40"/>
      <c r="L71" s="42">
        <v>1.0</v>
      </c>
      <c r="M71" s="42">
        <v>1.0</v>
      </c>
      <c r="N71" s="42">
        <v>1.0</v>
      </c>
      <c r="O71" s="45">
        <v>0.8571</v>
      </c>
      <c r="P71" s="42">
        <v>1.0</v>
      </c>
      <c r="Q71" s="42">
        <v>0.8571</v>
      </c>
      <c r="R71" s="42">
        <v>0.9524</v>
      </c>
      <c r="S71" s="42">
        <v>1.0</v>
      </c>
      <c r="T71" s="41">
        <v>0.9048</v>
      </c>
      <c r="U71" s="41">
        <v>0.7619</v>
      </c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36" t="s">
        <v>33</v>
      </c>
      <c r="B72" s="36" t="s">
        <v>178</v>
      </c>
      <c r="C72" s="36">
        <v>72.0</v>
      </c>
      <c r="D72" s="36">
        <v>1.5110625092E10</v>
      </c>
      <c r="E72" s="36">
        <v>2.5000208E8</v>
      </c>
      <c r="F72" s="36" t="s">
        <v>205</v>
      </c>
      <c r="G72" s="40" t="str">
        <f t="shared" si="1"/>
        <v>OK</v>
      </c>
      <c r="H72" s="40">
        <f t="shared" si="2"/>
        <v>14</v>
      </c>
      <c r="I72" s="40">
        <f t="shared" si="3"/>
        <v>283</v>
      </c>
      <c r="J72" s="40">
        <f t="shared" si="4"/>
        <v>0</v>
      </c>
      <c r="K72" s="40"/>
      <c r="L72" s="42">
        <v>1.0</v>
      </c>
      <c r="M72" s="42">
        <v>1.0</v>
      </c>
      <c r="N72" s="42">
        <v>1.0</v>
      </c>
      <c r="O72" s="45">
        <v>1.0</v>
      </c>
      <c r="P72" s="42">
        <v>1.0</v>
      </c>
      <c r="Q72" s="42">
        <v>1.0</v>
      </c>
      <c r="R72" s="42">
        <v>1.0</v>
      </c>
      <c r="S72" s="42">
        <v>0.8095</v>
      </c>
      <c r="T72" s="41">
        <v>0.619</v>
      </c>
      <c r="U72" s="41">
        <v>1.0</v>
      </c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36" t="s">
        <v>33</v>
      </c>
      <c r="B73" s="36" t="s">
        <v>178</v>
      </c>
      <c r="C73" s="36">
        <v>73.0</v>
      </c>
      <c r="D73" s="36">
        <v>1.5110625053E10</v>
      </c>
      <c r="E73" s="36">
        <v>2.50002081E8</v>
      </c>
      <c r="F73" s="36" t="s">
        <v>207</v>
      </c>
      <c r="G73" s="40" t="str">
        <f t="shared" si="1"/>
        <v>OK</v>
      </c>
      <c r="H73" s="40">
        <f t="shared" si="2"/>
        <v>20</v>
      </c>
      <c r="I73" s="40">
        <f t="shared" si="3"/>
        <v>299</v>
      </c>
      <c r="J73" s="40">
        <f t="shared" si="4"/>
        <v>0</v>
      </c>
      <c r="K73" s="40"/>
      <c r="L73" s="42">
        <v>1.0</v>
      </c>
      <c r="M73" s="42">
        <v>1.0</v>
      </c>
      <c r="N73" s="42">
        <v>0.9524</v>
      </c>
      <c r="O73" s="45">
        <v>1.0</v>
      </c>
      <c r="P73" s="42">
        <v>1.0</v>
      </c>
      <c r="Q73" s="42">
        <v>1.0</v>
      </c>
      <c r="R73" s="42">
        <v>1.0</v>
      </c>
      <c r="S73" s="42">
        <v>1.0</v>
      </c>
      <c r="T73" s="41">
        <v>1.0</v>
      </c>
      <c r="U73" s="41">
        <v>1.0</v>
      </c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36" t="s">
        <v>33</v>
      </c>
      <c r="B74" s="36" t="s">
        <v>178</v>
      </c>
      <c r="C74" s="36">
        <v>74.0</v>
      </c>
      <c r="D74" s="36">
        <v>1.5110625084E10</v>
      </c>
      <c r="E74" s="36">
        <v>2.50002082E8</v>
      </c>
      <c r="F74" s="36" t="s">
        <v>210</v>
      </c>
      <c r="G74" s="40" t="str">
        <f t="shared" si="1"/>
        <v>OK</v>
      </c>
      <c r="H74" s="40">
        <f t="shared" si="2"/>
        <v>20</v>
      </c>
      <c r="I74" s="40">
        <f t="shared" si="3"/>
        <v>299</v>
      </c>
      <c r="J74" s="40">
        <f t="shared" si="4"/>
        <v>0</v>
      </c>
      <c r="K74" s="40"/>
      <c r="L74" s="42">
        <v>1.0</v>
      </c>
      <c r="M74" s="42">
        <v>1.0</v>
      </c>
      <c r="N74" s="42">
        <v>1.0</v>
      </c>
      <c r="O74" s="45">
        <v>1.0</v>
      </c>
      <c r="P74" s="42">
        <v>1.0</v>
      </c>
      <c r="Q74" s="42">
        <v>1.0</v>
      </c>
      <c r="R74" s="42">
        <v>1.0</v>
      </c>
      <c r="S74" s="42">
        <v>1.0</v>
      </c>
      <c r="T74" s="41">
        <v>1.0</v>
      </c>
      <c r="U74" s="41">
        <v>0.9524</v>
      </c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36" t="s">
        <v>33</v>
      </c>
      <c r="B75" s="36" t="s">
        <v>178</v>
      </c>
      <c r="C75" s="36">
        <v>75.0</v>
      </c>
      <c r="D75" s="36">
        <v>1.5110625021E10</v>
      </c>
      <c r="E75" s="36">
        <v>2.50002083E8</v>
      </c>
      <c r="F75" s="36" t="s">
        <v>212</v>
      </c>
      <c r="G75" s="40" t="str">
        <f t="shared" si="1"/>
        <v>Pending</v>
      </c>
      <c r="H75" s="40">
        <f t="shared" si="2"/>
        <v>-11</v>
      </c>
      <c r="I75" s="40">
        <f t="shared" si="3"/>
        <v>208</v>
      </c>
      <c r="J75" s="40">
        <f t="shared" si="4"/>
        <v>32</v>
      </c>
      <c r="K75" s="40"/>
      <c r="L75" s="42">
        <v>0.7619</v>
      </c>
      <c r="M75" s="42">
        <v>0.9412</v>
      </c>
      <c r="N75" s="42">
        <v>0.5714</v>
      </c>
      <c r="O75" s="45">
        <v>0.8571</v>
      </c>
      <c r="P75" s="42">
        <v>0.8095</v>
      </c>
      <c r="Q75" s="42">
        <v>0.0476</v>
      </c>
      <c r="R75" s="42">
        <v>0.5714</v>
      </c>
      <c r="S75" s="42">
        <v>0.7143</v>
      </c>
      <c r="T75" s="41">
        <v>0.8095</v>
      </c>
      <c r="U75" s="41">
        <v>0.8571</v>
      </c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36" t="s">
        <v>33</v>
      </c>
      <c r="B76" s="36" t="s">
        <v>178</v>
      </c>
      <c r="C76" s="36">
        <v>76.0</v>
      </c>
      <c r="D76" s="36">
        <v>1.5110625101E10</v>
      </c>
      <c r="E76" s="36">
        <v>2.50002084E8</v>
      </c>
      <c r="F76" s="36" t="s">
        <v>214</v>
      </c>
      <c r="G76" s="40" t="str">
        <f t="shared" si="1"/>
        <v>OK</v>
      </c>
      <c r="H76" s="40">
        <f t="shared" si="2"/>
        <v>14</v>
      </c>
      <c r="I76" s="40">
        <f t="shared" si="3"/>
        <v>281</v>
      </c>
      <c r="J76" s="40">
        <f t="shared" si="4"/>
        <v>0</v>
      </c>
      <c r="K76" s="40"/>
      <c r="L76" s="42">
        <v>0.9048</v>
      </c>
      <c r="M76" s="42">
        <v>0.8824</v>
      </c>
      <c r="N76" s="42">
        <v>0.8571</v>
      </c>
      <c r="O76" s="45">
        <v>1.0</v>
      </c>
      <c r="P76" s="42">
        <v>0.9524</v>
      </c>
      <c r="Q76" s="42">
        <v>1.0</v>
      </c>
      <c r="R76" s="42">
        <v>0.9048</v>
      </c>
      <c r="S76" s="42">
        <v>0.9524</v>
      </c>
      <c r="T76" s="41">
        <v>1.0</v>
      </c>
      <c r="U76" s="41">
        <v>0.9048</v>
      </c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36" t="s">
        <v>33</v>
      </c>
      <c r="B77" s="36" t="s">
        <v>178</v>
      </c>
      <c r="C77" s="36">
        <v>77.0</v>
      </c>
      <c r="D77" s="36">
        <v>1.5110625159E10</v>
      </c>
      <c r="E77" s="36">
        <v>2.50002085E8</v>
      </c>
      <c r="F77" s="36" t="s">
        <v>216</v>
      </c>
      <c r="G77" s="40" t="str">
        <f t="shared" si="1"/>
        <v>Pending</v>
      </c>
      <c r="H77" s="40">
        <f t="shared" si="2"/>
        <v>-6</v>
      </c>
      <c r="I77" s="40">
        <f t="shared" si="3"/>
        <v>221</v>
      </c>
      <c r="J77" s="40">
        <f t="shared" si="4"/>
        <v>19</v>
      </c>
      <c r="K77" s="40"/>
      <c r="L77" s="42">
        <v>0.0</v>
      </c>
      <c r="M77" s="42">
        <v>0.0</v>
      </c>
      <c r="N77" s="42">
        <v>0.9524</v>
      </c>
      <c r="O77" s="45">
        <v>1.0</v>
      </c>
      <c r="P77" s="42">
        <v>0.7143</v>
      </c>
      <c r="Q77" s="42">
        <v>0.9048</v>
      </c>
      <c r="R77" s="42">
        <v>1.0</v>
      </c>
      <c r="S77" s="42">
        <v>0.8095</v>
      </c>
      <c r="T77" s="41">
        <v>1.0</v>
      </c>
      <c r="U77" s="41">
        <v>1.0</v>
      </c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36" t="s">
        <v>33</v>
      </c>
      <c r="B78" s="36" t="s">
        <v>178</v>
      </c>
      <c r="C78" s="36">
        <v>78.0</v>
      </c>
      <c r="D78" s="36">
        <v>1.5110625096E10</v>
      </c>
      <c r="E78" s="36">
        <v>2.50002086E8</v>
      </c>
      <c r="F78" s="36" t="s">
        <v>218</v>
      </c>
      <c r="G78" s="40" t="str">
        <f t="shared" si="1"/>
        <v>OK</v>
      </c>
      <c r="H78" s="40">
        <f t="shared" si="2"/>
        <v>5</v>
      </c>
      <c r="I78" s="40">
        <f t="shared" si="3"/>
        <v>256</v>
      </c>
      <c r="J78" s="40">
        <f t="shared" si="4"/>
        <v>0</v>
      </c>
      <c r="K78" s="40"/>
      <c r="L78" s="42">
        <v>0.8095</v>
      </c>
      <c r="M78" s="42">
        <v>1.0</v>
      </c>
      <c r="N78" s="42">
        <v>0.8571</v>
      </c>
      <c r="O78" s="45">
        <v>0.8571</v>
      </c>
      <c r="P78" s="42">
        <v>0.8095</v>
      </c>
      <c r="Q78" s="42">
        <v>0.8095</v>
      </c>
      <c r="R78" s="42">
        <v>0.6667</v>
      </c>
      <c r="S78" s="42">
        <v>0.8571</v>
      </c>
      <c r="T78" s="41">
        <v>0.9524</v>
      </c>
      <c r="U78" s="41">
        <v>0.9048</v>
      </c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36" t="s">
        <v>33</v>
      </c>
      <c r="B79" s="36" t="s">
        <v>178</v>
      </c>
      <c r="C79" s="36">
        <v>79.0</v>
      </c>
      <c r="D79" s="36">
        <v>1.5110625088E10</v>
      </c>
      <c r="E79" s="36">
        <v>2.50002087E8</v>
      </c>
      <c r="F79" s="36" t="s">
        <v>220</v>
      </c>
      <c r="G79" s="40" t="str">
        <f t="shared" si="1"/>
        <v>OK</v>
      </c>
      <c r="H79" s="40">
        <f t="shared" si="2"/>
        <v>18</v>
      </c>
      <c r="I79" s="40">
        <f t="shared" si="3"/>
        <v>294</v>
      </c>
      <c r="J79" s="40">
        <f t="shared" si="4"/>
        <v>0</v>
      </c>
      <c r="K79" s="40"/>
      <c r="L79" s="42">
        <v>1.0</v>
      </c>
      <c r="M79" s="42">
        <v>1.0</v>
      </c>
      <c r="N79" s="42">
        <v>1.0</v>
      </c>
      <c r="O79" s="45">
        <v>1.0</v>
      </c>
      <c r="P79" s="42">
        <v>1.0</v>
      </c>
      <c r="Q79" s="42">
        <v>0.8095</v>
      </c>
      <c r="R79" s="42">
        <v>1.0</v>
      </c>
      <c r="S79" s="42">
        <v>1.0</v>
      </c>
      <c r="T79" s="41">
        <v>1.0</v>
      </c>
      <c r="U79" s="41">
        <v>1.0</v>
      </c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36" t="s">
        <v>33</v>
      </c>
      <c r="B80" s="36" t="s">
        <v>178</v>
      </c>
      <c r="C80" s="36">
        <v>80.0</v>
      </c>
      <c r="D80" s="36">
        <v>1.5110625013E10</v>
      </c>
      <c r="E80" s="36">
        <v>2.50002088E8</v>
      </c>
      <c r="F80" s="36" t="s">
        <v>222</v>
      </c>
      <c r="G80" s="40" t="str">
        <f t="shared" si="1"/>
        <v>OK</v>
      </c>
      <c r="H80" s="40">
        <f t="shared" si="2"/>
        <v>6</v>
      </c>
      <c r="I80" s="40">
        <f t="shared" si="3"/>
        <v>257</v>
      </c>
      <c r="J80" s="40">
        <f t="shared" si="4"/>
        <v>0</v>
      </c>
      <c r="K80" s="40"/>
      <c r="L80" s="42">
        <v>0.0</v>
      </c>
      <c r="M80" s="42">
        <v>1.0</v>
      </c>
      <c r="N80" s="42">
        <v>1.0</v>
      </c>
      <c r="O80" s="45">
        <v>0.9524</v>
      </c>
      <c r="P80" s="42">
        <v>1.0</v>
      </c>
      <c r="Q80" s="42">
        <v>0.9048</v>
      </c>
      <c r="R80" s="42">
        <v>1.0</v>
      </c>
      <c r="S80" s="42">
        <v>0.8095</v>
      </c>
      <c r="T80" s="41">
        <v>1.0</v>
      </c>
      <c r="U80" s="41">
        <v>0.9048</v>
      </c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36" t="s">
        <v>33</v>
      </c>
      <c r="B81" s="36" t="s">
        <v>178</v>
      </c>
      <c r="C81" s="36">
        <v>81.0</v>
      </c>
      <c r="D81" s="36">
        <v>1.5110625117E10</v>
      </c>
      <c r="E81" s="36">
        <v>2.50002089E8</v>
      </c>
      <c r="F81" s="36" t="s">
        <v>224</v>
      </c>
      <c r="G81" s="40" t="str">
        <f t="shared" si="1"/>
        <v>OK</v>
      </c>
      <c r="H81" s="40">
        <f t="shared" si="2"/>
        <v>9</v>
      </c>
      <c r="I81" s="40">
        <f t="shared" si="3"/>
        <v>266</v>
      </c>
      <c r="J81" s="40">
        <f t="shared" si="4"/>
        <v>0</v>
      </c>
      <c r="K81" s="40"/>
      <c r="L81" s="42">
        <v>1.0</v>
      </c>
      <c r="M81" s="42">
        <v>1.0</v>
      </c>
      <c r="N81" s="42">
        <v>1.0</v>
      </c>
      <c r="O81" s="45">
        <v>0.9048</v>
      </c>
      <c r="P81" s="42">
        <v>1.0</v>
      </c>
      <c r="Q81" s="42">
        <v>0.6667</v>
      </c>
      <c r="R81" s="42">
        <v>0.6667</v>
      </c>
      <c r="S81" s="42">
        <v>0.7143</v>
      </c>
      <c r="T81" s="41">
        <v>0.9048</v>
      </c>
      <c r="U81" s="41">
        <v>1.0</v>
      </c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36" t="s">
        <v>33</v>
      </c>
      <c r="B82" s="36" t="s">
        <v>178</v>
      </c>
      <c r="C82" s="36">
        <v>82.0</v>
      </c>
      <c r="D82" s="36">
        <v>1.5110625066E10</v>
      </c>
      <c r="E82" s="36">
        <v>2.5000209E8</v>
      </c>
      <c r="F82" s="36" t="s">
        <v>226</v>
      </c>
      <c r="G82" s="40" t="str">
        <f t="shared" si="1"/>
        <v>OK</v>
      </c>
      <c r="H82" s="40">
        <f t="shared" si="2"/>
        <v>13</v>
      </c>
      <c r="I82" s="40">
        <f t="shared" si="3"/>
        <v>279</v>
      </c>
      <c r="J82" s="40">
        <f t="shared" si="4"/>
        <v>0</v>
      </c>
      <c r="K82" s="40"/>
      <c r="L82" s="42">
        <v>0.8095</v>
      </c>
      <c r="M82" s="42">
        <v>1.0</v>
      </c>
      <c r="N82" s="42">
        <v>0.8571</v>
      </c>
      <c r="O82" s="45">
        <v>1.0</v>
      </c>
      <c r="P82" s="42">
        <v>0.9524</v>
      </c>
      <c r="Q82" s="42">
        <v>0.9524</v>
      </c>
      <c r="R82" s="42">
        <v>1.0</v>
      </c>
      <c r="S82" s="42">
        <v>1.0</v>
      </c>
      <c r="T82" s="41">
        <v>0.9524</v>
      </c>
      <c r="U82" s="41">
        <v>0.7619</v>
      </c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36" t="s">
        <v>33</v>
      </c>
      <c r="B83" s="36" t="s">
        <v>178</v>
      </c>
      <c r="C83" s="36">
        <v>83.0</v>
      </c>
      <c r="D83" s="36">
        <v>1.5110626103E10</v>
      </c>
      <c r="E83" s="36">
        <v>2.62002001E8</v>
      </c>
      <c r="F83" s="36" t="s">
        <v>228</v>
      </c>
      <c r="G83" s="40" t="str">
        <f t="shared" si="1"/>
        <v>Pending</v>
      </c>
      <c r="H83" s="40">
        <f t="shared" si="2"/>
        <v>-46</v>
      </c>
      <c r="I83" s="40">
        <f t="shared" si="3"/>
        <v>101</v>
      </c>
      <c r="J83" s="40">
        <f t="shared" si="4"/>
        <v>139</v>
      </c>
      <c r="K83" s="40"/>
      <c r="L83" s="42">
        <v>0.0</v>
      </c>
      <c r="M83" s="42">
        <v>0.0</v>
      </c>
      <c r="N83" s="42">
        <v>0.0</v>
      </c>
      <c r="O83" s="45">
        <v>0.0</v>
      </c>
      <c r="P83" s="42">
        <v>0.0</v>
      </c>
      <c r="Q83" s="42">
        <v>0.0</v>
      </c>
      <c r="R83" s="42">
        <v>1.0</v>
      </c>
      <c r="S83" s="42">
        <v>0.8095</v>
      </c>
      <c r="T83" s="41">
        <v>0.7143</v>
      </c>
      <c r="U83" s="41">
        <v>0.8571</v>
      </c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36" t="s">
        <v>33</v>
      </c>
      <c r="B84" s="36" t="s">
        <v>178</v>
      </c>
      <c r="C84" s="36">
        <v>84.0</v>
      </c>
      <c r="D84" s="36">
        <v>1.5110626111E10</v>
      </c>
      <c r="E84" s="49"/>
      <c r="F84" s="36" t="s">
        <v>230</v>
      </c>
      <c r="G84" s="40" t="str">
        <f t="shared" si="1"/>
        <v>Pending</v>
      </c>
      <c r="H84" s="40">
        <f t="shared" si="2"/>
        <v>-62</v>
      </c>
      <c r="I84" s="40">
        <f t="shared" si="3"/>
        <v>53</v>
      </c>
      <c r="J84" s="40">
        <f t="shared" si="4"/>
        <v>187</v>
      </c>
      <c r="K84" s="40"/>
      <c r="L84" s="42">
        <v>0.0</v>
      </c>
      <c r="M84" s="42">
        <v>0.0</v>
      </c>
      <c r="N84" s="42">
        <v>0.0</v>
      </c>
      <c r="O84" s="45">
        <v>0.0</v>
      </c>
      <c r="P84" s="42">
        <v>0.0</v>
      </c>
      <c r="Q84" s="42">
        <v>0.0</v>
      </c>
      <c r="R84" s="42">
        <v>0.0</v>
      </c>
      <c r="S84" s="42">
        <v>0.0</v>
      </c>
      <c r="T84" s="41">
        <v>0.7619</v>
      </c>
      <c r="U84" s="41">
        <v>1.0</v>
      </c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36" t="s">
        <v>33</v>
      </c>
      <c r="B85" s="36" t="s">
        <v>178</v>
      </c>
      <c r="C85" s="36">
        <v>85.0</v>
      </c>
      <c r="D85" s="36">
        <v>1.5110626112E10</v>
      </c>
      <c r="E85" s="49"/>
      <c r="F85" s="36" t="s">
        <v>232</v>
      </c>
      <c r="G85" s="40" t="str">
        <f t="shared" si="1"/>
        <v>Pending</v>
      </c>
      <c r="H85" s="40">
        <f t="shared" si="2"/>
        <v>-60</v>
      </c>
      <c r="I85" s="40">
        <f t="shared" si="3"/>
        <v>60</v>
      </c>
      <c r="J85" s="40">
        <f t="shared" si="4"/>
        <v>180</v>
      </c>
      <c r="K85" s="40"/>
      <c r="L85" s="42">
        <v>0.0</v>
      </c>
      <c r="M85" s="42">
        <v>0.0</v>
      </c>
      <c r="N85" s="42">
        <v>0.0</v>
      </c>
      <c r="O85" s="45">
        <v>0.0</v>
      </c>
      <c r="P85" s="42">
        <v>0.0</v>
      </c>
      <c r="Q85" s="42">
        <v>0.0</v>
      </c>
      <c r="R85" s="42">
        <v>0.0</v>
      </c>
      <c r="S85" s="42">
        <v>0.0</v>
      </c>
      <c r="T85" s="41">
        <v>1.0</v>
      </c>
      <c r="U85" s="41">
        <v>1.0</v>
      </c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36" t="s">
        <v>33</v>
      </c>
      <c r="B86" s="36" t="s">
        <v>178</v>
      </c>
      <c r="C86" s="36">
        <v>86.0</v>
      </c>
      <c r="D86" s="36">
        <v>1.5110626113E10</v>
      </c>
      <c r="E86" s="49"/>
      <c r="F86" s="36" t="s">
        <v>234</v>
      </c>
      <c r="G86" s="40" t="str">
        <f t="shared" si="1"/>
        <v>Pending</v>
      </c>
      <c r="H86" s="40">
        <f t="shared" si="2"/>
        <v>-60</v>
      </c>
      <c r="I86" s="40">
        <f t="shared" si="3"/>
        <v>60</v>
      </c>
      <c r="J86" s="40">
        <f t="shared" si="4"/>
        <v>180</v>
      </c>
      <c r="K86" s="40"/>
      <c r="L86" s="42">
        <v>0.0</v>
      </c>
      <c r="M86" s="42">
        <v>0.0</v>
      </c>
      <c r="N86" s="42">
        <v>0.0</v>
      </c>
      <c r="O86" s="45">
        <v>0.0</v>
      </c>
      <c r="P86" s="42">
        <v>0.0</v>
      </c>
      <c r="Q86" s="42">
        <v>0.0</v>
      </c>
      <c r="R86" s="42">
        <v>0.0</v>
      </c>
      <c r="S86" s="42">
        <v>0.0</v>
      </c>
      <c r="T86" s="41">
        <v>1.0</v>
      </c>
      <c r="U86" s="41">
        <v>1.0</v>
      </c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36" t="s">
        <v>33</v>
      </c>
      <c r="B87" s="36" t="s">
        <v>178</v>
      </c>
      <c r="C87" s="36">
        <v>87.0</v>
      </c>
      <c r="D87" s="36">
        <v>1.5110626114E10</v>
      </c>
      <c r="E87" s="49"/>
      <c r="F87" s="36" t="s">
        <v>238</v>
      </c>
      <c r="G87" s="40" t="str">
        <f t="shared" si="1"/>
        <v>Pending</v>
      </c>
      <c r="H87" s="40">
        <f t="shared" si="2"/>
        <v>-60</v>
      </c>
      <c r="I87" s="40">
        <f t="shared" si="3"/>
        <v>60</v>
      </c>
      <c r="J87" s="40">
        <f t="shared" si="4"/>
        <v>180</v>
      </c>
      <c r="K87" s="40"/>
      <c r="L87" s="42">
        <v>0.0</v>
      </c>
      <c r="M87" s="42">
        <v>0.0</v>
      </c>
      <c r="N87" s="42">
        <v>0.0</v>
      </c>
      <c r="O87" s="45">
        <v>0.0</v>
      </c>
      <c r="P87" s="42">
        <v>0.0</v>
      </c>
      <c r="Q87" s="42">
        <v>0.0</v>
      </c>
      <c r="R87" s="42">
        <v>0.0</v>
      </c>
      <c r="S87" s="42">
        <v>0.0</v>
      </c>
      <c r="T87" s="41">
        <v>1.0</v>
      </c>
      <c r="U87" s="41">
        <v>1.0</v>
      </c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36" t="s">
        <v>33</v>
      </c>
      <c r="B88" s="36" t="s">
        <v>178</v>
      </c>
      <c r="C88" s="36">
        <v>88.0</v>
      </c>
      <c r="D88" s="36">
        <v>1.5110626115E10</v>
      </c>
      <c r="E88" s="49"/>
      <c r="F88" s="36" t="s">
        <v>239</v>
      </c>
      <c r="G88" s="40" t="str">
        <f t="shared" si="1"/>
        <v>Pending</v>
      </c>
      <c r="H88" s="40">
        <f t="shared" si="2"/>
        <v>-60</v>
      </c>
      <c r="I88" s="40">
        <f t="shared" si="3"/>
        <v>60</v>
      </c>
      <c r="J88" s="40">
        <f t="shared" si="4"/>
        <v>180</v>
      </c>
      <c r="K88" s="40"/>
      <c r="L88" s="42">
        <v>0.0</v>
      </c>
      <c r="M88" s="42">
        <v>0.0</v>
      </c>
      <c r="N88" s="42">
        <v>0.0</v>
      </c>
      <c r="O88" s="45">
        <v>0.0</v>
      </c>
      <c r="P88" s="42">
        <v>0.0</v>
      </c>
      <c r="Q88" s="42">
        <v>0.0</v>
      </c>
      <c r="R88" s="42">
        <v>0.0</v>
      </c>
      <c r="S88" s="42">
        <v>0.0</v>
      </c>
      <c r="T88" s="41">
        <v>1.0</v>
      </c>
      <c r="U88" s="41">
        <v>1.0</v>
      </c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36" t="s">
        <v>33</v>
      </c>
      <c r="B89" s="36" t="s">
        <v>178</v>
      </c>
      <c r="C89" s="36">
        <v>89.0</v>
      </c>
      <c r="D89" s="36">
        <v>1.5110626108E10</v>
      </c>
      <c r="E89" s="49"/>
      <c r="F89" s="36" t="s">
        <v>240</v>
      </c>
      <c r="G89" s="40" t="str">
        <f t="shared" si="1"/>
        <v>Pending</v>
      </c>
      <c r="H89" s="40">
        <f t="shared" si="2"/>
        <v>-63</v>
      </c>
      <c r="I89" s="40">
        <f t="shared" si="3"/>
        <v>50</v>
      </c>
      <c r="J89" s="40">
        <f t="shared" si="4"/>
        <v>190</v>
      </c>
      <c r="K89" s="40"/>
      <c r="L89" s="42">
        <v>0.0</v>
      </c>
      <c r="M89" s="42">
        <v>0.0</v>
      </c>
      <c r="N89" s="42">
        <v>0.0</v>
      </c>
      <c r="O89" s="45">
        <v>0.0</v>
      </c>
      <c r="P89" s="42">
        <v>0.0</v>
      </c>
      <c r="Q89" s="42">
        <v>0.0</v>
      </c>
      <c r="R89" s="42">
        <v>0.0</v>
      </c>
      <c r="S89" s="42">
        <v>0.0</v>
      </c>
      <c r="T89" s="41">
        <v>0.6667</v>
      </c>
      <c r="U89" s="41">
        <v>1.0</v>
      </c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36" t="s">
        <v>33</v>
      </c>
      <c r="B90" s="36" t="s">
        <v>178</v>
      </c>
      <c r="C90" s="36">
        <v>90.0</v>
      </c>
      <c r="D90" s="36">
        <v>1.511062611E10</v>
      </c>
      <c r="E90" s="49"/>
      <c r="F90" s="36" t="s">
        <v>241</v>
      </c>
      <c r="G90" s="40" t="str">
        <f t="shared" si="1"/>
        <v>Pending</v>
      </c>
      <c r="H90" s="40">
        <f t="shared" si="2"/>
        <v>-60</v>
      </c>
      <c r="I90" s="40">
        <f t="shared" si="3"/>
        <v>59</v>
      </c>
      <c r="J90" s="40">
        <f t="shared" si="4"/>
        <v>181</v>
      </c>
      <c r="K90" s="40"/>
      <c r="L90" s="42">
        <v>0.0</v>
      </c>
      <c r="M90" s="42">
        <v>0.0</v>
      </c>
      <c r="N90" s="42">
        <v>0.0</v>
      </c>
      <c r="O90" s="45">
        <v>0.0</v>
      </c>
      <c r="P90" s="42">
        <v>0.0</v>
      </c>
      <c r="Q90" s="42">
        <v>0.0</v>
      </c>
      <c r="R90" s="42">
        <v>0.0</v>
      </c>
      <c r="S90" s="42">
        <v>0.0</v>
      </c>
      <c r="T90" s="41">
        <v>0.9524</v>
      </c>
      <c r="U90" s="41">
        <v>1.0</v>
      </c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29" t="s">
        <v>6</v>
      </c>
      <c r="B91" s="29" t="s">
        <v>7</v>
      </c>
      <c r="C91" s="29" t="s">
        <v>8</v>
      </c>
      <c r="D91" s="29" t="s">
        <v>9</v>
      </c>
      <c r="E91" s="29" t="s">
        <v>10</v>
      </c>
      <c r="F91" s="29"/>
      <c r="G91" s="40"/>
      <c r="H91" s="40"/>
      <c r="I91" s="40"/>
      <c r="J91" s="40"/>
      <c r="K91" s="40"/>
      <c r="L91" s="42"/>
      <c r="M91" s="40"/>
      <c r="N91" s="40"/>
      <c r="O91" s="40"/>
      <c r="P91" s="40"/>
      <c r="Q91" s="40"/>
      <c r="R91" s="40"/>
      <c r="S91" s="40"/>
      <c r="T91" s="46"/>
      <c r="U91" s="41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37" t="s">
        <v>242</v>
      </c>
      <c r="B92" s="37" t="s">
        <v>243</v>
      </c>
      <c r="C92" s="37">
        <v>1.0</v>
      </c>
      <c r="D92" s="37">
        <v>1.5110626017E10</v>
      </c>
      <c r="E92" s="40"/>
      <c r="F92" s="37" t="s">
        <v>244</v>
      </c>
      <c r="G92" s="40" t="str">
        <f t="shared" ref="G92:G165" si="5">IF(H92&gt;=0,"OK",IF(K92&gt;=J92,"Completed","Pending"))</f>
        <v>Pending</v>
      </c>
      <c r="H92" s="40">
        <f t="shared" ref="H92:H165" si="6">round((((((L92*100)*$L$5)+((M92*100)*$M$5)+((N92*100)*$N$5)+((O92*100)*$O$5)+((P92*100)*$P$5)+((Q92*100)*$Q$5)+((R92*100)*$R$5)+((S92*100)*$S$5)+((T92*100)*$T$5)+((U92*100)*$U$5)+((V92*100)*$V$5)+((W92*100)*$W$5)+((X92*100)*$X$5)+((Y92*100)*$Y$5)+((Z92*100)*$Z$5)++((W92*100)*$W$5)+((AA92*100)*$AA$5))/($L$5+$M$5+$N$5+$O$5+$P$5+$Q$5+$R$5+$S$5+$T$5+$V$5+$U$5+$W$5+$X$5+$Y$5+$Z$5+$AA$5))-80),0)</f>
        <v>-7</v>
      </c>
      <c r="I92" s="40">
        <f t="shared" ref="I92:I165" si="7">round(30*((L92*$L$5)+(M92*$M$5)+(N92*$N$5)+(O92*$O$5)+(P92*$P$5)+(Q92*$Q$5)+(R92*$R$5)+(S92*$S$5)+(T92*$T$5)+(U92*$U$5)+(V92*$V$5)+(W92*$W$5)+(X92*$X$5)+(Y92*$Y$5)+(Z92*$Z$5)+(AA92*$AA$5)),0)</f>
        <v>218</v>
      </c>
      <c r="J92" s="40">
        <f t="shared" ref="J92:J165" si="8">if(I92&lt;(24*($L$5+$M$5+$N$5+$O$5+$P$5+$Q$5+$R$5+$S$5+$T$5+$V$5+$U$5+$W$5+$X$5+$Y$5+$Z$5+$AA$5)),abs(I92-(24*($L$5+$M$5+$N$5+$O$5+$P$5+$Q$5+$R$5+$S$5+$T$5+$V$5+$U$5+$W$5+$X$5+$Y$5+$Z$5+$AA$5))),0)</f>
        <v>22</v>
      </c>
      <c r="K92" s="40"/>
      <c r="L92" s="42">
        <v>0.0</v>
      </c>
      <c r="M92" s="42">
        <v>0.0</v>
      </c>
      <c r="N92" s="42">
        <v>0.4444</v>
      </c>
      <c r="O92" s="42">
        <v>1.0</v>
      </c>
      <c r="P92" s="42">
        <v>1.0</v>
      </c>
      <c r="Q92" s="42">
        <v>1.0</v>
      </c>
      <c r="R92" s="42">
        <v>0.9048</v>
      </c>
      <c r="S92" s="42">
        <v>0.9524</v>
      </c>
      <c r="T92" s="41">
        <v>1.0</v>
      </c>
      <c r="U92" s="41">
        <v>0.9524</v>
      </c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37" t="s">
        <v>242</v>
      </c>
      <c r="B93" s="37" t="s">
        <v>243</v>
      </c>
      <c r="C93" s="37">
        <v>2.0</v>
      </c>
      <c r="D93" s="37">
        <v>1.5110626007E10</v>
      </c>
      <c r="E93" s="40"/>
      <c r="F93" s="37" t="s">
        <v>250</v>
      </c>
      <c r="G93" s="40" t="str">
        <f t="shared" si="5"/>
        <v>Pending</v>
      </c>
      <c r="H93" s="40">
        <f t="shared" si="6"/>
        <v>-10</v>
      </c>
      <c r="I93" s="40">
        <f t="shared" si="7"/>
        <v>210</v>
      </c>
      <c r="J93" s="40">
        <f t="shared" si="8"/>
        <v>30</v>
      </c>
      <c r="K93" s="40"/>
      <c r="L93" s="42">
        <v>0.0</v>
      </c>
      <c r="M93" s="42">
        <v>0.0</v>
      </c>
      <c r="N93" s="42">
        <v>0.7619</v>
      </c>
      <c r="O93" s="42">
        <v>0.7619</v>
      </c>
      <c r="P93" s="42">
        <v>1.0</v>
      </c>
      <c r="Q93" s="42">
        <v>1.0</v>
      </c>
      <c r="R93" s="42">
        <v>0.9048</v>
      </c>
      <c r="S93" s="42">
        <v>0.9048</v>
      </c>
      <c r="T93" s="41">
        <v>0.7143</v>
      </c>
      <c r="U93" s="41">
        <v>0.9524</v>
      </c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37" t="s">
        <v>242</v>
      </c>
      <c r="B94" s="37" t="s">
        <v>243</v>
      </c>
      <c r="C94" s="37">
        <v>3.0</v>
      </c>
      <c r="D94" s="37">
        <v>1.5110626008E10</v>
      </c>
      <c r="E94" s="40"/>
      <c r="F94" s="37" t="s">
        <v>253</v>
      </c>
      <c r="G94" s="40" t="str">
        <f t="shared" si="5"/>
        <v>Pending</v>
      </c>
      <c r="H94" s="40">
        <f t="shared" si="6"/>
        <v>-12</v>
      </c>
      <c r="I94" s="40">
        <f t="shared" si="7"/>
        <v>204</v>
      </c>
      <c r="J94" s="40">
        <f t="shared" si="8"/>
        <v>36</v>
      </c>
      <c r="K94" s="40"/>
      <c r="L94" s="42">
        <v>0.0</v>
      </c>
      <c r="M94" s="42">
        <v>0.0</v>
      </c>
      <c r="N94" s="42">
        <v>0.6667</v>
      </c>
      <c r="O94" s="42">
        <v>0.7143</v>
      </c>
      <c r="P94" s="42">
        <v>1.0</v>
      </c>
      <c r="Q94" s="42">
        <v>1.0</v>
      </c>
      <c r="R94" s="42">
        <v>0.9048</v>
      </c>
      <c r="S94" s="42">
        <v>0.7143</v>
      </c>
      <c r="T94" s="41">
        <v>0.9048</v>
      </c>
      <c r="U94" s="41">
        <v>0.9048</v>
      </c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37" t="s">
        <v>242</v>
      </c>
      <c r="B95" s="37" t="s">
        <v>243</v>
      </c>
      <c r="C95" s="37">
        <v>4.0</v>
      </c>
      <c r="D95" s="37">
        <v>1.511062602E10</v>
      </c>
      <c r="E95" s="40"/>
      <c r="F95" s="37" t="s">
        <v>255</v>
      </c>
      <c r="G95" s="40" t="str">
        <f t="shared" si="5"/>
        <v>Pending</v>
      </c>
      <c r="H95" s="40">
        <f t="shared" si="6"/>
        <v>-20</v>
      </c>
      <c r="I95" s="40">
        <f t="shared" si="7"/>
        <v>179</v>
      </c>
      <c r="J95" s="40">
        <f t="shared" si="8"/>
        <v>61</v>
      </c>
      <c r="K95" s="40"/>
      <c r="L95" s="42">
        <v>0.0</v>
      </c>
      <c r="M95" s="42">
        <v>0.0</v>
      </c>
      <c r="N95" s="42">
        <v>1.0</v>
      </c>
      <c r="O95" s="42">
        <v>0.5714</v>
      </c>
      <c r="P95" s="42">
        <v>0.7143</v>
      </c>
      <c r="Q95" s="42">
        <v>0.7143</v>
      </c>
      <c r="R95" s="42">
        <v>0.8571</v>
      </c>
      <c r="S95" s="42">
        <v>0.6667</v>
      </c>
      <c r="T95" s="41">
        <v>0.619</v>
      </c>
      <c r="U95" s="41">
        <v>0.8095</v>
      </c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37" t="s">
        <v>242</v>
      </c>
      <c r="B96" s="37" t="s">
        <v>243</v>
      </c>
      <c r="C96" s="37">
        <v>5.0</v>
      </c>
      <c r="D96" s="37">
        <v>1.5110626025E10</v>
      </c>
      <c r="E96" s="40"/>
      <c r="F96" s="37" t="s">
        <v>257</v>
      </c>
      <c r="G96" s="40" t="str">
        <f t="shared" si="5"/>
        <v>Pending</v>
      </c>
      <c r="H96" s="40">
        <f t="shared" si="6"/>
        <v>-17</v>
      </c>
      <c r="I96" s="40">
        <f t="shared" si="7"/>
        <v>190</v>
      </c>
      <c r="J96" s="40">
        <f t="shared" si="8"/>
        <v>50</v>
      </c>
      <c r="K96" s="40"/>
      <c r="L96" s="42">
        <v>0.0</v>
      </c>
      <c r="M96" s="42">
        <v>0.0</v>
      </c>
      <c r="N96" s="42">
        <v>0.0</v>
      </c>
      <c r="O96" s="42">
        <v>0.9091</v>
      </c>
      <c r="P96" s="42">
        <v>1.0</v>
      </c>
      <c r="Q96" s="42">
        <v>0.8095</v>
      </c>
      <c r="R96" s="42">
        <v>1.0</v>
      </c>
      <c r="S96" s="42">
        <v>0.8095</v>
      </c>
      <c r="T96" s="41">
        <v>0.8571</v>
      </c>
      <c r="U96" s="41">
        <v>0.9524</v>
      </c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37" t="s">
        <v>242</v>
      </c>
      <c r="B97" s="37" t="s">
        <v>243</v>
      </c>
      <c r="C97" s="37">
        <v>6.0</v>
      </c>
      <c r="D97" s="37">
        <v>1.5110626027E10</v>
      </c>
      <c r="E97" s="40"/>
      <c r="F97" s="37" t="s">
        <v>259</v>
      </c>
      <c r="G97" s="40" t="str">
        <f t="shared" si="5"/>
        <v>Pending</v>
      </c>
      <c r="H97" s="40">
        <f t="shared" si="6"/>
        <v>-13</v>
      </c>
      <c r="I97" s="40">
        <f t="shared" si="7"/>
        <v>200</v>
      </c>
      <c r="J97" s="40">
        <f t="shared" si="8"/>
        <v>40</v>
      </c>
      <c r="K97" s="40"/>
      <c r="L97" s="42">
        <v>0.0</v>
      </c>
      <c r="M97" s="42">
        <v>0.0</v>
      </c>
      <c r="N97" s="42">
        <v>0.0</v>
      </c>
      <c r="O97" s="42">
        <v>0.6667</v>
      </c>
      <c r="P97" s="42">
        <v>1.0</v>
      </c>
      <c r="Q97" s="42">
        <v>1.0</v>
      </c>
      <c r="R97" s="42">
        <v>1.0</v>
      </c>
      <c r="S97" s="42">
        <v>1.0</v>
      </c>
      <c r="T97" s="41">
        <v>1.0</v>
      </c>
      <c r="U97" s="41">
        <v>1.0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37" t="s">
        <v>242</v>
      </c>
      <c r="B98" s="37" t="s">
        <v>243</v>
      </c>
      <c r="C98" s="37">
        <v>7.0</v>
      </c>
      <c r="D98" s="37">
        <v>1.5110626028E10</v>
      </c>
      <c r="E98" s="40"/>
      <c r="F98" s="37" t="s">
        <v>261</v>
      </c>
      <c r="G98" s="40" t="str">
        <f t="shared" si="5"/>
        <v>Pending</v>
      </c>
      <c r="H98" s="40">
        <f t="shared" si="6"/>
        <v>-34</v>
      </c>
      <c r="I98" s="40">
        <f t="shared" si="7"/>
        <v>137</v>
      </c>
      <c r="J98" s="40">
        <f t="shared" si="8"/>
        <v>103</v>
      </c>
      <c r="K98" s="40"/>
      <c r="L98" s="42">
        <v>0.0</v>
      </c>
      <c r="M98" s="42">
        <v>0.0</v>
      </c>
      <c r="N98" s="42">
        <v>0.0</v>
      </c>
      <c r="O98" s="42">
        <v>0.0</v>
      </c>
      <c r="P98" s="42">
        <v>0.4286</v>
      </c>
      <c r="Q98" s="42">
        <v>0.9524</v>
      </c>
      <c r="R98" s="42">
        <v>0.7143</v>
      </c>
      <c r="S98" s="42">
        <v>1.0</v>
      </c>
      <c r="T98" s="41">
        <v>0.8095</v>
      </c>
      <c r="U98" s="41">
        <v>0.6667</v>
      </c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37" t="s">
        <v>242</v>
      </c>
      <c r="B99" s="37" t="s">
        <v>243</v>
      </c>
      <c r="C99" s="37">
        <v>8.0</v>
      </c>
      <c r="D99" s="37">
        <v>1.5110626029E10</v>
      </c>
      <c r="E99" s="40"/>
      <c r="F99" s="37" t="s">
        <v>263</v>
      </c>
      <c r="G99" s="40" t="str">
        <f t="shared" si="5"/>
        <v>Pending</v>
      </c>
      <c r="H99" s="40">
        <f t="shared" si="6"/>
        <v>-12</v>
      </c>
      <c r="I99" s="40">
        <f t="shared" si="7"/>
        <v>204</v>
      </c>
      <c r="J99" s="40">
        <f t="shared" si="8"/>
        <v>36</v>
      </c>
      <c r="K99" s="40"/>
      <c r="L99" s="42">
        <v>0.0</v>
      </c>
      <c r="M99" s="42">
        <v>0.0</v>
      </c>
      <c r="N99" s="42">
        <v>0.0</v>
      </c>
      <c r="O99" s="42">
        <v>1.0</v>
      </c>
      <c r="P99" s="42">
        <v>0.9524</v>
      </c>
      <c r="Q99" s="42">
        <v>1.0</v>
      </c>
      <c r="R99" s="42">
        <v>1.0</v>
      </c>
      <c r="S99" s="42">
        <v>1.0</v>
      </c>
      <c r="T99" s="41">
        <v>1.0</v>
      </c>
      <c r="U99" s="41">
        <v>0.8571</v>
      </c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37" t="s">
        <v>242</v>
      </c>
      <c r="B100" s="37" t="s">
        <v>243</v>
      </c>
      <c r="C100" s="37">
        <v>9.0</v>
      </c>
      <c r="D100" s="37">
        <v>1.511062603E10</v>
      </c>
      <c r="E100" s="40"/>
      <c r="F100" s="37" t="s">
        <v>265</v>
      </c>
      <c r="G100" s="40" t="str">
        <f t="shared" si="5"/>
        <v>Pending</v>
      </c>
      <c r="H100" s="40">
        <f t="shared" si="6"/>
        <v>-35</v>
      </c>
      <c r="I100" s="40">
        <f t="shared" si="7"/>
        <v>134</v>
      </c>
      <c r="J100" s="40">
        <f t="shared" si="8"/>
        <v>106</v>
      </c>
      <c r="K100" s="40"/>
      <c r="L100" s="42">
        <v>0.0</v>
      </c>
      <c r="M100" s="42">
        <v>0.0</v>
      </c>
      <c r="N100" s="42">
        <v>0.0</v>
      </c>
      <c r="O100" s="42">
        <v>0.0</v>
      </c>
      <c r="P100" s="42">
        <v>0.0</v>
      </c>
      <c r="Q100" s="42">
        <v>0.9048</v>
      </c>
      <c r="R100" s="42">
        <v>1.0</v>
      </c>
      <c r="S100" s="42">
        <v>0.8095</v>
      </c>
      <c r="T100" s="41">
        <v>0.8095</v>
      </c>
      <c r="U100" s="41">
        <v>0.9524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37" t="s">
        <v>242</v>
      </c>
      <c r="B101" s="37" t="s">
        <v>243</v>
      </c>
      <c r="C101" s="37">
        <v>10.0</v>
      </c>
      <c r="D101" s="37">
        <v>1.5110626031E10</v>
      </c>
      <c r="E101" s="40"/>
      <c r="F101" s="37" t="s">
        <v>267</v>
      </c>
      <c r="G101" s="40" t="str">
        <f t="shared" si="5"/>
        <v>Pending</v>
      </c>
      <c r="H101" s="40">
        <f t="shared" si="6"/>
        <v>-21</v>
      </c>
      <c r="I101" s="40">
        <f t="shared" si="7"/>
        <v>178</v>
      </c>
      <c r="J101" s="40">
        <f t="shared" si="8"/>
        <v>62</v>
      </c>
      <c r="K101" s="40"/>
      <c r="L101" s="42">
        <v>0.0</v>
      </c>
      <c r="M101" s="42">
        <v>0.0</v>
      </c>
      <c r="N101" s="42">
        <v>0.0</v>
      </c>
      <c r="O101" s="42">
        <v>0.5</v>
      </c>
      <c r="P101" s="42">
        <v>1.0</v>
      </c>
      <c r="Q101" s="42">
        <v>0.4762</v>
      </c>
      <c r="R101" s="42">
        <v>1.0</v>
      </c>
      <c r="S101" s="42">
        <v>0.9524</v>
      </c>
      <c r="T101" s="41">
        <v>1.0</v>
      </c>
      <c r="U101" s="41">
        <v>1.0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37" t="s">
        <v>242</v>
      </c>
      <c r="B102" s="37" t="s">
        <v>243</v>
      </c>
      <c r="C102" s="37">
        <v>11.0</v>
      </c>
      <c r="D102" s="37">
        <v>1.5110626032E10</v>
      </c>
      <c r="E102" s="37">
        <v>2.61002002E8</v>
      </c>
      <c r="F102" s="37" t="s">
        <v>269</v>
      </c>
      <c r="G102" s="40" t="str">
        <f t="shared" si="5"/>
        <v>Pending</v>
      </c>
      <c r="H102" s="40">
        <f t="shared" si="6"/>
        <v>-11</v>
      </c>
      <c r="I102" s="40">
        <f t="shared" si="7"/>
        <v>206</v>
      </c>
      <c r="J102" s="40">
        <f t="shared" si="8"/>
        <v>34</v>
      </c>
      <c r="K102" s="40"/>
      <c r="L102" s="42">
        <v>0.0</v>
      </c>
      <c r="M102" s="42">
        <v>0.0</v>
      </c>
      <c r="N102" s="42">
        <v>0.0</v>
      </c>
      <c r="O102" s="42">
        <v>1.0</v>
      </c>
      <c r="P102" s="42">
        <v>0.8571</v>
      </c>
      <c r="Q102" s="42">
        <v>1.0</v>
      </c>
      <c r="R102" s="42">
        <v>1.0</v>
      </c>
      <c r="S102" s="42">
        <v>1.0</v>
      </c>
      <c r="T102" s="41">
        <v>1.0</v>
      </c>
      <c r="U102" s="41">
        <v>1.0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37" t="s">
        <v>242</v>
      </c>
      <c r="B103" s="37" t="s">
        <v>243</v>
      </c>
      <c r="C103" s="37">
        <v>12.0</v>
      </c>
      <c r="D103" s="37">
        <v>1.5110626033E10</v>
      </c>
      <c r="E103" s="40"/>
      <c r="F103" s="37" t="s">
        <v>272</v>
      </c>
      <c r="G103" s="40" t="str">
        <f t="shared" si="5"/>
        <v>Pending</v>
      </c>
      <c r="H103" s="40">
        <f t="shared" si="6"/>
        <v>-25</v>
      </c>
      <c r="I103" s="40">
        <f t="shared" si="7"/>
        <v>164</v>
      </c>
      <c r="J103" s="40">
        <f t="shared" si="8"/>
        <v>76</v>
      </c>
      <c r="K103" s="40"/>
      <c r="L103" s="42">
        <v>0.0</v>
      </c>
      <c r="M103" s="42">
        <v>0.0</v>
      </c>
      <c r="N103" s="42">
        <v>0.0</v>
      </c>
      <c r="O103" s="42">
        <v>0.0</v>
      </c>
      <c r="P103" s="42">
        <v>0.9524</v>
      </c>
      <c r="Q103" s="42">
        <v>0.9524</v>
      </c>
      <c r="R103" s="42">
        <v>1.0</v>
      </c>
      <c r="S103" s="42">
        <v>0.9048</v>
      </c>
      <c r="T103" s="41">
        <v>0.6667</v>
      </c>
      <c r="U103" s="41">
        <v>1.0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37" t="s">
        <v>242</v>
      </c>
      <c r="B104" s="37" t="s">
        <v>243</v>
      </c>
      <c r="C104" s="37">
        <v>13.0</v>
      </c>
      <c r="D104" s="37">
        <v>1.5110626034E10</v>
      </c>
      <c r="E104" s="37">
        <v>2.61002003E8</v>
      </c>
      <c r="F104" s="37" t="s">
        <v>274</v>
      </c>
      <c r="G104" s="40" t="str">
        <f t="shared" si="5"/>
        <v>Pending</v>
      </c>
      <c r="H104" s="40">
        <f t="shared" si="6"/>
        <v>-25</v>
      </c>
      <c r="I104" s="40">
        <f t="shared" si="7"/>
        <v>166</v>
      </c>
      <c r="J104" s="40">
        <f t="shared" si="8"/>
        <v>74</v>
      </c>
      <c r="K104" s="40"/>
      <c r="L104" s="42">
        <v>0.0</v>
      </c>
      <c r="M104" s="42">
        <v>0.0</v>
      </c>
      <c r="N104" s="42">
        <v>0.0</v>
      </c>
      <c r="O104" s="42">
        <v>0.0</v>
      </c>
      <c r="P104" s="42">
        <v>0.7619</v>
      </c>
      <c r="Q104" s="42">
        <v>1.0</v>
      </c>
      <c r="R104" s="42">
        <v>1.0</v>
      </c>
      <c r="S104" s="42">
        <v>0.8571</v>
      </c>
      <c r="T104" s="41">
        <v>0.9524</v>
      </c>
      <c r="U104" s="41">
        <v>0.9524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37" t="s">
        <v>242</v>
      </c>
      <c r="B105" s="37" t="s">
        <v>243</v>
      </c>
      <c r="C105" s="37">
        <v>14.0</v>
      </c>
      <c r="D105" s="37">
        <v>1.5110626035E10</v>
      </c>
      <c r="E105" s="40"/>
      <c r="F105" s="37" t="s">
        <v>276</v>
      </c>
      <c r="G105" s="40" t="str">
        <f t="shared" si="5"/>
        <v>Pending</v>
      </c>
      <c r="H105" s="40">
        <f t="shared" si="6"/>
        <v>-39</v>
      </c>
      <c r="I105" s="40">
        <f t="shared" si="7"/>
        <v>123</v>
      </c>
      <c r="J105" s="40">
        <f t="shared" si="8"/>
        <v>117</v>
      </c>
      <c r="K105" s="40"/>
      <c r="L105" s="42">
        <v>0.0</v>
      </c>
      <c r="M105" s="42">
        <v>0.0</v>
      </c>
      <c r="N105" s="42">
        <v>0.0</v>
      </c>
      <c r="O105" s="42">
        <v>0.0</v>
      </c>
      <c r="P105" s="42">
        <v>0.2381</v>
      </c>
      <c r="Q105" s="42">
        <v>0.9048</v>
      </c>
      <c r="R105" s="42">
        <v>0.8095</v>
      </c>
      <c r="S105" s="42">
        <v>0.4762</v>
      </c>
      <c r="T105" s="41">
        <v>0.9048</v>
      </c>
      <c r="U105" s="41">
        <v>0.7619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37" t="s">
        <v>242</v>
      </c>
      <c r="B106" s="37" t="s">
        <v>243</v>
      </c>
      <c r="C106" s="37">
        <v>15.0</v>
      </c>
      <c r="D106" s="37">
        <v>1.5110626036E10</v>
      </c>
      <c r="E106" s="40"/>
      <c r="F106" s="37" t="s">
        <v>278</v>
      </c>
      <c r="G106" s="40" t="str">
        <f t="shared" si="5"/>
        <v>Pending</v>
      </c>
      <c r="H106" s="40">
        <f t="shared" si="6"/>
        <v>-50</v>
      </c>
      <c r="I106" s="40">
        <f t="shared" si="7"/>
        <v>91</v>
      </c>
      <c r="J106" s="40">
        <f t="shared" si="8"/>
        <v>149</v>
      </c>
      <c r="K106" s="40"/>
      <c r="L106" s="42">
        <v>0.0</v>
      </c>
      <c r="M106" s="42">
        <v>0.0</v>
      </c>
      <c r="N106" s="42">
        <v>0.0</v>
      </c>
      <c r="O106" s="42">
        <v>0.0</v>
      </c>
      <c r="P106" s="42">
        <v>0.6667</v>
      </c>
      <c r="Q106" s="42">
        <v>0.4762</v>
      </c>
      <c r="R106" s="42">
        <v>0.9524</v>
      </c>
      <c r="S106" s="42">
        <v>0.1905</v>
      </c>
      <c r="T106" s="41">
        <v>0.7143</v>
      </c>
      <c r="U106" s="41">
        <v>0.0476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37" t="s">
        <v>242</v>
      </c>
      <c r="B107" s="37" t="s">
        <v>243</v>
      </c>
      <c r="C107" s="37">
        <v>16.0</v>
      </c>
      <c r="D107" s="37">
        <v>1.5110626037E10</v>
      </c>
      <c r="E107" s="40"/>
      <c r="F107" s="37" t="s">
        <v>280</v>
      </c>
      <c r="G107" s="40" t="str">
        <f t="shared" si="5"/>
        <v>Pending</v>
      </c>
      <c r="H107" s="40">
        <f t="shared" si="6"/>
        <v>-26</v>
      </c>
      <c r="I107" s="40">
        <f t="shared" si="7"/>
        <v>161</v>
      </c>
      <c r="J107" s="40">
        <f t="shared" si="8"/>
        <v>79</v>
      </c>
      <c r="K107" s="40"/>
      <c r="L107" s="42">
        <v>0.0</v>
      </c>
      <c r="M107" s="42">
        <v>0.0</v>
      </c>
      <c r="N107" s="42">
        <v>0.0</v>
      </c>
      <c r="O107" s="42">
        <v>0.0</v>
      </c>
      <c r="P107" s="42">
        <v>0.9048</v>
      </c>
      <c r="Q107" s="42">
        <v>0.9524</v>
      </c>
      <c r="R107" s="42">
        <v>0.9048</v>
      </c>
      <c r="S107" s="42">
        <v>0.7619</v>
      </c>
      <c r="T107" s="41">
        <v>0.9048</v>
      </c>
      <c r="U107" s="41">
        <v>0.9524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37" t="s">
        <v>242</v>
      </c>
      <c r="B108" s="37" t="s">
        <v>243</v>
      </c>
      <c r="C108" s="37">
        <v>17.0</v>
      </c>
      <c r="D108" s="37">
        <v>1.5110626038E10</v>
      </c>
      <c r="E108" s="40"/>
      <c r="F108" s="37" t="s">
        <v>282</v>
      </c>
      <c r="G108" s="40" t="str">
        <f t="shared" si="5"/>
        <v>Pending</v>
      </c>
      <c r="H108" s="40">
        <f t="shared" si="6"/>
        <v>-30</v>
      </c>
      <c r="I108" s="40">
        <f t="shared" si="7"/>
        <v>150</v>
      </c>
      <c r="J108" s="40">
        <f t="shared" si="8"/>
        <v>90</v>
      </c>
      <c r="K108" s="40"/>
      <c r="L108" s="42">
        <v>0.0</v>
      </c>
      <c r="M108" s="42">
        <v>0.0</v>
      </c>
      <c r="N108" s="42">
        <v>0.0</v>
      </c>
      <c r="O108" s="42">
        <v>0.0</v>
      </c>
      <c r="P108" s="42">
        <v>0.7143</v>
      </c>
      <c r="Q108" s="42">
        <v>0.9524</v>
      </c>
      <c r="R108" s="42">
        <v>1.0</v>
      </c>
      <c r="S108" s="42">
        <v>0.9524</v>
      </c>
      <c r="T108" s="41">
        <v>0.7143</v>
      </c>
      <c r="U108" s="41">
        <v>0.6667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37" t="s">
        <v>242</v>
      </c>
      <c r="B109" s="37" t="s">
        <v>243</v>
      </c>
      <c r="C109" s="37">
        <v>18.0</v>
      </c>
      <c r="D109" s="37">
        <v>1.5110626039E10</v>
      </c>
      <c r="E109" s="40"/>
      <c r="F109" s="37" t="s">
        <v>284</v>
      </c>
      <c r="G109" s="40" t="str">
        <f t="shared" si="5"/>
        <v>Pending</v>
      </c>
      <c r="H109" s="40">
        <f t="shared" si="6"/>
        <v>-20</v>
      </c>
      <c r="I109" s="40">
        <f t="shared" si="7"/>
        <v>179</v>
      </c>
      <c r="J109" s="40">
        <f t="shared" si="8"/>
        <v>61</v>
      </c>
      <c r="K109" s="40"/>
      <c r="L109" s="42">
        <v>0.0</v>
      </c>
      <c r="M109" s="42">
        <v>0.0</v>
      </c>
      <c r="N109" s="42">
        <v>0.0</v>
      </c>
      <c r="O109" s="42">
        <v>0.0</v>
      </c>
      <c r="P109" s="42">
        <v>0.9524</v>
      </c>
      <c r="Q109" s="42">
        <v>1.0</v>
      </c>
      <c r="R109" s="42">
        <v>1.0</v>
      </c>
      <c r="S109" s="42">
        <v>1.0</v>
      </c>
      <c r="T109" s="41">
        <v>1.0</v>
      </c>
      <c r="U109" s="41">
        <v>1.0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37" t="s">
        <v>242</v>
      </c>
      <c r="B110" s="37" t="s">
        <v>243</v>
      </c>
      <c r="C110" s="37">
        <v>19.0</v>
      </c>
      <c r="D110" s="37">
        <v>1.511062604E10</v>
      </c>
      <c r="E110" s="40"/>
      <c r="F110" s="37" t="s">
        <v>286</v>
      </c>
      <c r="G110" s="40" t="str">
        <f t="shared" si="5"/>
        <v>Pending</v>
      </c>
      <c r="H110" s="40">
        <f t="shared" si="6"/>
        <v>-20</v>
      </c>
      <c r="I110" s="40">
        <f t="shared" si="7"/>
        <v>180</v>
      </c>
      <c r="J110" s="40">
        <f t="shared" si="8"/>
        <v>60</v>
      </c>
      <c r="K110" s="40"/>
      <c r="L110" s="42">
        <v>0.0</v>
      </c>
      <c r="M110" s="42">
        <v>0.0</v>
      </c>
      <c r="N110" s="42">
        <v>0.0</v>
      </c>
      <c r="O110" s="42">
        <v>0.0</v>
      </c>
      <c r="P110" s="42">
        <v>1.0</v>
      </c>
      <c r="Q110" s="42">
        <v>1.0</v>
      </c>
      <c r="R110" s="42">
        <v>1.0</v>
      </c>
      <c r="S110" s="42">
        <v>1.0</v>
      </c>
      <c r="T110" s="41">
        <v>1.0</v>
      </c>
      <c r="U110" s="41">
        <v>1.0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37" t="s">
        <v>242</v>
      </c>
      <c r="B111" s="37" t="s">
        <v>243</v>
      </c>
      <c r="C111" s="37">
        <v>20.0</v>
      </c>
      <c r="D111" s="37">
        <v>1.5110626041E10</v>
      </c>
      <c r="E111" s="40"/>
      <c r="F111" s="37" t="s">
        <v>288</v>
      </c>
      <c r="G111" s="40" t="str">
        <f t="shared" si="5"/>
        <v>Pending</v>
      </c>
      <c r="H111" s="40">
        <f t="shared" si="6"/>
        <v>-38</v>
      </c>
      <c r="I111" s="40">
        <f t="shared" si="7"/>
        <v>127</v>
      </c>
      <c r="J111" s="40">
        <f t="shared" si="8"/>
        <v>113</v>
      </c>
      <c r="K111" s="40"/>
      <c r="L111" s="42">
        <v>0.0</v>
      </c>
      <c r="M111" s="42">
        <v>0.0</v>
      </c>
      <c r="N111" s="42">
        <v>0.0</v>
      </c>
      <c r="O111" s="42">
        <v>0.0</v>
      </c>
      <c r="P111" s="42">
        <v>0.0</v>
      </c>
      <c r="Q111" s="42">
        <v>0.3333</v>
      </c>
      <c r="R111" s="42">
        <v>1.0</v>
      </c>
      <c r="S111" s="42">
        <v>0.9048</v>
      </c>
      <c r="T111" s="41">
        <v>1.0</v>
      </c>
      <c r="U111" s="41">
        <v>1.0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37" t="s">
        <v>242</v>
      </c>
      <c r="B112" s="37" t="s">
        <v>243</v>
      </c>
      <c r="C112" s="37">
        <v>21.0</v>
      </c>
      <c r="D112" s="37">
        <v>1.5110626042E10</v>
      </c>
      <c r="E112" s="40"/>
      <c r="F112" s="37" t="s">
        <v>290</v>
      </c>
      <c r="G112" s="40" t="str">
        <f t="shared" si="5"/>
        <v>Pending</v>
      </c>
      <c r="H112" s="40">
        <f t="shared" si="6"/>
        <v>-34</v>
      </c>
      <c r="I112" s="40">
        <f t="shared" si="7"/>
        <v>137</v>
      </c>
      <c r="J112" s="40">
        <f t="shared" si="8"/>
        <v>103</v>
      </c>
      <c r="K112" s="40"/>
      <c r="L112" s="42">
        <v>0.0</v>
      </c>
      <c r="M112" s="42">
        <v>0.0</v>
      </c>
      <c r="N112" s="42">
        <v>0.0</v>
      </c>
      <c r="O112" s="42">
        <v>0.0</v>
      </c>
      <c r="P112" s="42">
        <v>0.7619</v>
      </c>
      <c r="Q112" s="42">
        <v>0.619</v>
      </c>
      <c r="R112" s="42">
        <v>1.0</v>
      </c>
      <c r="S112" s="42">
        <v>0.7619</v>
      </c>
      <c r="T112" s="41">
        <v>0.7143</v>
      </c>
      <c r="U112" s="41">
        <v>0.7143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37" t="s">
        <v>242</v>
      </c>
      <c r="B113" s="37" t="s">
        <v>243</v>
      </c>
      <c r="C113" s="37">
        <v>22.0</v>
      </c>
      <c r="D113" s="37">
        <v>1.5110626043E10</v>
      </c>
      <c r="E113" s="40"/>
      <c r="F113" s="37" t="s">
        <v>293</v>
      </c>
      <c r="G113" s="40" t="str">
        <f t="shared" si="5"/>
        <v>Pending</v>
      </c>
      <c r="H113" s="40">
        <f t="shared" si="6"/>
        <v>-20</v>
      </c>
      <c r="I113" s="40">
        <f t="shared" si="7"/>
        <v>179</v>
      </c>
      <c r="J113" s="40">
        <f t="shared" si="8"/>
        <v>61</v>
      </c>
      <c r="K113" s="40"/>
      <c r="L113" s="42">
        <v>0.0</v>
      </c>
      <c r="M113" s="42">
        <v>0.0</v>
      </c>
      <c r="N113" s="42">
        <v>0.0</v>
      </c>
      <c r="O113" s="42">
        <v>0.0</v>
      </c>
      <c r="P113" s="42">
        <v>1.0</v>
      </c>
      <c r="Q113" s="42">
        <v>0.9524</v>
      </c>
      <c r="R113" s="42">
        <v>1.0</v>
      </c>
      <c r="S113" s="42">
        <v>1.0</v>
      </c>
      <c r="T113" s="41">
        <v>1.0</v>
      </c>
      <c r="U113" s="41">
        <v>1.0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37" t="s">
        <v>242</v>
      </c>
      <c r="B114" s="37" t="s">
        <v>243</v>
      </c>
      <c r="C114" s="37">
        <v>23.0</v>
      </c>
      <c r="D114" s="37">
        <v>1.5110626044E10</v>
      </c>
      <c r="E114" s="40"/>
      <c r="F114" s="37" t="s">
        <v>295</v>
      </c>
      <c r="G114" s="40" t="str">
        <f t="shared" si="5"/>
        <v>Pending</v>
      </c>
      <c r="H114" s="40">
        <f t="shared" si="6"/>
        <v>-27</v>
      </c>
      <c r="I114" s="40">
        <f t="shared" si="7"/>
        <v>159</v>
      </c>
      <c r="J114" s="40">
        <f t="shared" si="8"/>
        <v>81</v>
      </c>
      <c r="K114" s="40"/>
      <c r="L114" s="42">
        <v>0.0</v>
      </c>
      <c r="M114" s="42">
        <v>0.0</v>
      </c>
      <c r="N114" s="42">
        <v>0.0</v>
      </c>
      <c r="O114" s="42">
        <v>0.0</v>
      </c>
      <c r="P114" s="42">
        <v>0.9524</v>
      </c>
      <c r="Q114" s="42">
        <v>0.9524</v>
      </c>
      <c r="R114" s="42">
        <v>1.0</v>
      </c>
      <c r="S114" s="42">
        <v>0.619</v>
      </c>
      <c r="T114" s="41">
        <v>1.0</v>
      </c>
      <c r="U114" s="41">
        <v>0.7619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37" t="s">
        <v>242</v>
      </c>
      <c r="B115" s="37" t="s">
        <v>243</v>
      </c>
      <c r="C115" s="37">
        <v>24.0</v>
      </c>
      <c r="D115" s="37">
        <v>1.5110626046E10</v>
      </c>
      <c r="E115" s="40"/>
      <c r="F115" s="37" t="s">
        <v>297</v>
      </c>
      <c r="G115" s="40" t="str">
        <f t="shared" si="5"/>
        <v>Pending</v>
      </c>
      <c r="H115" s="40">
        <f t="shared" si="6"/>
        <v>-21</v>
      </c>
      <c r="I115" s="40">
        <f t="shared" si="7"/>
        <v>177</v>
      </c>
      <c r="J115" s="40">
        <f t="shared" si="8"/>
        <v>63</v>
      </c>
      <c r="K115" s="40"/>
      <c r="L115" s="42">
        <v>0.0</v>
      </c>
      <c r="M115" s="42">
        <v>0.0</v>
      </c>
      <c r="N115" s="42">
        <v>0.0</v>
      </c>
      <c r="O115" s="42">
        <v>0.0</v>
      </c>
      <c r="P115" s="42">
        <v>0.95</v>
      </c>
      <c r="Q115" s="42">
        <v>1.0</v>
      </c>
      <c r="R115" s="42">
        <v>1.0</v>
      </c>
      <c r="S115" s="42">
        <v>1.0</v>
      </c>
      <c r="T115" s="41">
        <v>0.9524</v>
      </c>
      <c r="U115" s="41">
        <v>1.0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37" t="s">
        <v>242</v>
      </c>
      <c r="B116" s="37" t="s">
        <v>243</v>
      </c>
      <c r="C116" s="37">
        <v>25.0</v>
      </c>
      <c r="D116" s="37">
        <v>1.5110626047E10</v>
      </c>
      <c r="E116" s="40"/>
      <c r="F116" s="37" t="s">
        <v>300</v>
      </c>
      <c r="G116" s="40" t="str">
        <f t="shared" si="5"/>
        <v>Pending</v>
      </c>
      <c r="H116" s="40">
        <f t="shared" si="6"/>
        <v>-21</v>
      </c>
      <c r="I116" s="40">
        <f t="shared" si="7"/>
        <v>176</v>
      </c>
      <c r="J116" s="40">
        <f t="shared" si="8"/>
        <v>64</v>
      </c>
      <c r="K116" s="40"/>
      <c r="L116" s="42">
        <v>0.0</v>
      </c>
      <c r="M116" s="42">
        <v>0.0</v>
      </c>
      <c r="N116" s="42">
        <v>0.0</v>
      </c>
      <c r="O116" s="42">
        <v>0.0</v>
      </c>
      <c r="P116" s="42">
        <v>0.95</v>
      </c>
      <c r="Q116" s="42">
        <v>1.0</v>
      </c>
      <c r="R116" s="42">
        <v>1.0</v>
      </c>
      <c r="S116" s="42">
        <v>0.9524</v>
      </c>
      <c r="T116" s="41">
        <v>0.9524</v>
      </c>
      <c r="U116" s="41">
        <v>1.0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37" t="s">
        <v>242</v>
      </c>
      <c r="B117" s="37" t="s">
        <v>243</v>
      </c>
      <c r="C117" s="37">
        <v>26.0</v>
      </c>
      <c r="D117" s="37">
        <v>1.5110626048E10</v>
      </c>
      <c r="E117" s="40"/>
      <c r="F117" s="37" t="s">
        <v>302</v>
      </c>
      <c r="G117" s="40" t="str">
        <f t="shared" si="5"/>
        <v>Pending</v>
      </c>
      <c r="H117" s="40">
        <f t="shared" si="6"/>
        <v>-27</v>
      </c>
      <c r="I117" s="40">
        <f t="shared" si="7"/>
        <v>158</v>
      </c>
      <c r="J117" s="40">
        <f t="shared" si="8"/>
        <v>82</v>
      </c>
      <c r="K117" s="40"/>
      <c r="L117" s="42">
        <v>0.0</v>
      </c>
      <c r="M117" s="42">
        <v>0.0</v>
      </c>
      <c r="N117" s="42">
        <v>0.0</v>
      </c>
      <c r="O117" s="42">
        <v>0.0</v>
      </c>
      <c r="P117" s="42">
        <v>0.75</v>
      </c>
      <c r="Q117" s="42">
        <v>1.0</v>
      </c>
      <c r="R117" s="42">
        <v>0.619</v>
      </c>
      <c r="S117" s="42">
        <v>0.9524</v>
      </c>
      <c r="T117" s="41">
        <v>0.9524</v>
      </c>
      <c r="U117" s="41">
        <v>1.0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37" t="s">
        <v>242</v>
      </c>
      <c r="B118" s="37" t="s">
        <v>243</v>
      </c>
      <c r="C118" s="37">
        <v>27.0</v>
      </c>
      <c r="D118" s="37">
        <v>1.5110626049E10</v>
      </c>
      <c r="E118" s="40"/>
      <c r="F118" s="37" t="s">
        <v>304</v>
      </c>
      <c r="G118" s="40" t="str">
        <f t="shared" si="5"/>
        <v>Pending</v>
      </c>
      <c r="H118" s="40">
        <f t="shared" si="6"/>
        <v>-27</v>
      </c>
      <c r="I118" s="40">
        <f t="shared" si="7"/>
        <v>159</v>
      </c>
      <c r="J118" s="40">
        <f t="shared" si="8"/>
        <v>81</v>
      </c>
      <c r="K118" s="40"/>
      <c r="L118" s="42">
        <v>0.0</v>
      </c>
      <c r="M118" s="42">
        <v>0.0</v>
      </c>
      <c r="N118" s="42">
        <v>0.0</v>
      </c>
      <c r="O118" s="42">
        <v>0.0</v>
      </c>
      <c r="P118" s="42">
        <v>1.0</v>
      </c>
      <c r="Q118" s="42">
        <v>0.9048</v>
      </c>
      <c r="R118" s="42">
        <v>1.0</v>
      </c>
      <c r="S118" s="42">
        <v>0.7619</v>
      </c>
      <c r="T118" s="41">
        <v>0.9048</v>
      </c>
      <c r="U118" s="41">
        <v>0.7143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37" t="s">
        <v>242</v>
      </c>
      <c r="B119" s="37" t="s">
        <v>243</v>
      </c>
      <c r="C119" s="37">
        <v>28.0</v>
      </c>
      <c r="D119" s="37">
        <v>1.511062605E10</v>
      </c>
      <c r="E119" s="37">
        <v>2.61002005E8</v>
      </c>
      <c r="F119" s="37" t="s">
        <v>306</v>
      </c>
      <c r="G119" s="40" t="str">
        <f t="shared" si="5"/>
        <v>Pending</v>
      </c>
      <c r="H119" s="40">
        <f t="shared" si="6"/>
        <v>-34</v>
      </c>
      <c r="I119" s="40">
        <f t="shared" si="7"/>
        <v>137</v>
      </c>
      <c r="J119" s="40">
        <f t="shared" si="8"/>
        <v>103</v>
      </c>
      <c r="K119" s="40"/>
      <c r="L119" s="42">
        <v>0.0</v>
      </c>
      <c r="M119" s="42">
        <v>0.0</v>
      </c>
      <c r="N119" s="42">
        <v>0.0</v>
      </c>
      <c r="O119" s="42">
        <v>0.0</v>
      </c>
      <c r="P119" s="42">
        <v>0.0</v>
      </c>
      <c r="Q119" s="42">
        <v>0.7143</v>
      </c>
      <c r="R119" s="42">
        <v>1.0</v>
      </c>
      <c r="S119" s="42">
        <v>0.9524</v>
      </c>
      <c r="T119" s="41">
        <v>0.9524</v>
      </c>
      <c r="U119" s="41">
        <v>0.9524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37" t="s">
        <v>242</v>
      </c>
      <c r="B120" s="37" t="s">
        <v>308</v>
      </c>
      <c r="C120" s="37">
        <v>29.0</v>
      </c>
      <c r="D120" s="37">
        <v>1.5110626051E10</v>
      </c>
      <c r="E120" s="40"/>
      <c r="F120" s="37" t="s">
        <v>309</v>
      </c>
      <c r="G120" s="40" t="str">
        <f t="shared" si="5"/>
        <v>Pending</v>
      </c>
      <c r="H120" s="40">
        <f t="shared" si="6"/>
        <v>-48</v>
      </c>
      <c r="I120" s="40">
        <f t="shared" si="7"/>
        <v>97</v>
      </c>
      <c r="J120" s="40">
        <f t="shared" si="8"/>
        <v>143</v>
      </c>
      <c r="K120" s="40"/>
      <c r="L120" s="42">
        <v>0.0</v>
      </c>
      <c r="M120" s="42">
        <v>0.0</v>
      </c>
      <c r="N120" s="42">
        <v>0.0</v>
      </c>
      <c r="O120" s="42">
        <v>0.0</v>
      </c>
      <c r="P120" s="42">
        <v>0.0</v>
      </c>
      <c r="Q120" s="42">
        <v>0.4762</v>
      </c>
      <c r="R120" s="42">
        <v>0.5714</v>
      </c>
      <c r="S120" s="42">
        <v>0.619</v>
      </c>
      <c r="T120" s="41">
        <v>0.7619</v>
      </c>
      <c r="U120" s="41">
        <v>0.8095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37" t="s">
        <v>242</v>
      </c>
      <c r="B121" s="37" t="s">
        <v>308</v>
      </c>
      <c r="C121" s="37">
        <v>30.0</v>
      </c>
      <c r="D121" s="37">
        <v>1.5110626052E10</v>
      </c>
      <c r="E121" s="40"/>
      <c r="F121" s="37" t="s">
        <v>311</v>
      </c>
      <c r="G121" s="40" t="str">
        <f t="shared" si="5"/>
        <v>Pending</v>
      </c>
      <c r="H121" s="40">
        <f t="shared" si="6"/>
        <v>-45</v>
      </c>
      <c r="I121" s="40">
        <f t="shared" si="7"/>
        <v>105</v>
      </c>
      <c r="J121" s="40">
        <f t="shared" si="8"/>
        <v>135</v>
      </c>
      <c r="K121" s="40"/>
      <c r="L121" s="42">
        <v>0.0</v>
      </c>
      <c r="M121" s="42">
        <v>0.0</v>
      </c>
      <c r="N121" s="42">
        <v>0.0</v>
      </c>
      <c r="O121" s="42">
        <v>0.0</v>
      </c>
      <c r="P121" s="42">
        <v>0.0769</v>
      </c>
      <c r="Q121" s="42">
        <v>0.4762</v>
      </c>
      <c r="R121" s="42">
        <v>0.8095</v>
      </c>
      <c r="S121" s="42">
        <v>0.8095</v>
      </c>
      <c r="T121" s="41">
        <v>0.6667</v>
      </c>
      <c r="U121" s="41">
        <v>0.6667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37" t="s">
        <v>242</v>
      </c>
      <c r="B122" s="37" t="s">
        <v>308</v>
      </c>
      <c r="C122" s="37">
        <v>31.0</v>
      </c>
      <c r="D122" s="37">
        <v>1.5110626053E10</v>
      </c>
      <c r="E122" s="40"/>
      <c r="F122" s="37" t="s">
        <v>313</v>
      </c>
      <c r="G122" s="40" t="str">
        <f t="shared" si="5"/>
        <v>Pending</v>
      </c>
      <c r="H122" s="40">
        <f t="shared" si="6"/>
        <v>-21</v>
      </c>
      <c r="I122" s="40">
        <f t="shared" si="7"/>
        <v>176</v>
      </c>
      <c r="J122" s="40">
        <f t="shared" si="8"/>
        <v>64</v>
      </c>
      <c r="K122" s="40"/>
      <c r="L122" s="42">
        <v>0.0</v>
      </c>
      <c r="M122" s="42">
        <v>0.0</v>
      </c>
      <c r="N122" s="42">
        <v>0.0</v>
      </c>
      <c r="O122" s="42">
        <v>0.0</v>
      </c>
      <c r="P122" s="42">
        <v>1.0</v>
      </c>
      <c r="Q122" s="42">
        <v>0.9524</v>
      </c>
      <c r="R122" s="42">
        <v>1.0</v>
      </c>
      <c r="S122" s="42">
        <v>1.0</v>
      </c>
      <c r="T122" s="41">
        <v>0.9524</v>
      </c>
      <c r="U122" s="41">
        <v>0.9524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37" t="s">
        <v>242</v>
      </c>
      <c r="B123" s="37" t="s">
        <v>308</v>
      </c>
      <c r="C123" s="37">
        <v>32.0</v>
      </c>
      <c r="D123" s="37">
        <v>1.5110626054E10</v>
      </c>
      <c r="E123" s="40"/>
      <c r="F123" s="37" t="s">
        <v>315</v>
      </c>
      <c r="G123" s="40" t="str">
        <f t="shared" si="5"/>
        <v>Pending</v>
      </c>
      <c r="H123" s="40">
        <f t="shared" si="6"/>
        <v>-50</v>
      </c>
      <c r="I123" s="40">
        <f t="shared" si="7"/>
        <v>91</v>
      </c>
      <c r="J123" s="40">
        <f t="shared" si="8"/>
        <v>149</v>
      </c>
      <c r="K123" s="40"/>
      <c r="L123" s="42">
        <v>0.0</v>
      </c>
      <c r="M123" s="42">
        <v>0.0</v>
      </c>
      <c r="N123" s="42">
        <v>0.0</v>
      </c>
      <c r="O123" s="42">
        <v>0.0</v>
      </c>
      <c r="P123" s="42">
        <v>0.4615</v>
      </c>
      <c r="Q123" s="42">
        <v>0.4762</v>
      </c>
      <c r="R123" s="42">
        <v>0.7143</v>
      </c>
      <c r="S123" s="42">
        <v>0.1905</v>
      </c>
      <c r="T123" s="41">
        <v>0.619</v>
      </c>
      <c r="U123" s="41">
        <v>0.5714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37" t="s">
        <v>242</v>
      </c>
      <c r="B124" s="37" t="s">
        <v>308</v>
      </c>
      <c r="C124" s="37">
        <v>33.0</v>
      </c>
      <c r="D124" s="37">
        <v>1.5110626055E10</v>
      </c>
      <c r="E124" s="37">
        <v>2.61002004E8</v>
      </c>
      <c r="F124" s="37" t="s">
        <v>318</v>
      </c>
      <c r="G124" s="40" t="str">
        <f t="shared" si="5"/>
        <v>Pending</v>
      </c>
      <c r="H124" s="40">
        <f t="shared" si="6"/>
        <v>-40</v>
      </c>
      <c r="I124" s="40">
        <f t="shared" si="7"/>
        <v>120</v>
      </c>
      <c r="J124" s="40">
        <f t="shared" si="8"/>
        <v>120</v>
      </c>
      <c r="K124" s="40"/>
      <c r="L124" s="42">
        <v>0.0</v>
      </c>
      <c r="M124" s="42">
        <v>0.0</v>
      </c>
      <c r="N124" s="42">
        <v>0.0</v>
      </c>
      <c r="O124" s="42">
        <v>0.0</v>
      </c>
      <c r="P124" s="42">
        <v>0.0</v>
      </c>
      <c r="Q124" s="42">
        <v>0.2381</v>
      </c>
      <c r="R124" s="42">
        <v>0.8095</v>
      </c>
      <c r="S124" s="42">
        <v>1.0</v>
      </c>
      <c r="T124" s="41">
        <v>1.0</v>
      </c>
      <c r="U124" s="41">
        <v>0.9524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37" t="s">
        <v>242</v>
      </c>
      <c r="B125" s="37" t="s">
        <v>308</v>
      </c>
      <c r="C125" s="37">
        <v>34.0</v>
      </c>
      <c r="D125" s="37">
        <v>1.5110626056E10</v>
      </c>
      <c r="E125" s="40"/>
      <c r="F125" s="37" t="s">
        <v>321</v>
      </c>
      <c r="G125" s="40" t="str">
        <f t="shared" si="5"/>
        <v>Pending</v>
      </c>
      <c r="H125" s="40">
        <f t="shared" si="6"/>
        <v>-38</v>
      </c>
      <c r="I125" s="40">
        <f t="shared" si="7"/>
        <v>125</v>
      </c>
      <c r="J125" s="40">
        <f t="shared" si="8"/>
        <v>115</v>
      </c>
      <c r="K125" s="40"/>
      <c r="L125" s="42">
        <v>0.0</v>
      </c>
      <c r="M125" s="42">
        <v>0.0</v>
      </c>
      <c r="N125" s="42">
        <v>0.0</v>
      </c>
      <c r="O125" s="42">
        <v>0.0</v>
      </c>
      <c r="P125" s="42">
        <v>0.2308</v>
      </c>
      <c r="Q125" s="42">
        <v>0.7619</v>
      </c>
      <c r="R125" s="42">
        <v>0.8095</v>
      </c>
      <c r="S125" s="42">
        <v>0.6667</v>
      </c>
      <c r="T125" s="41">
        <v>0.9048</v>
      </c>
      <c r="U125" s="41">
        <v>0.8095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37" t="s">
        <v>242</v>
      </c>
      <c r="B126" s="37" t="s">
        <v>308</v>
      </c>
      <c r="C126" s="37">
        <v>35.0</v>
      </c>
      <c r="D126" s="37">
        <v>1.5110626057E10</v>
      </c>
      <c r="E126" s="40"/>
      <c r="F126" s="37" t="s">
        <v>323</v>
      </c>
      <c r="G126" s="40" t="str">
        <f t="shared" si="5"/>
        <v>Pending</v>
      </c>
      <c r="H126" s="40">
        <f t="shared" si="6"/>
        <v>-56</v>
      </c>
      <c r="I126" s="40">
        <f t="shared" si="7"/>
        <v>72</v>
      </c>
      <c r="J126" s="40">
        <f t="shared" si="8"/>
        <v>168</v>
      </c>
      <c r="K126" s="40"/>
      <c r="L126" s="42">
        <v>0.0</v>
      </c>
      <c r="M126" s="42">
        <v>0.0</v>
      </c>
      <c r="N126" s="42">
        <v>0.0</v>
      </c>
      <c r="O126" s="42">
        <v>0.0</v>
      </c>
      <c r="P126" s="42">
        <v>0.3077</v>
      </c>
      <c r="Q126" s="42">
        <v>0.381</v>
      </c>
      <c r="R126" s="42">
        <v>0.7143</v>
      </c>
      <c r="S126" s="42">
        <v>0.1905</v>
      </c>
      <c r="T126" s="41">
        <v>0.619</v>
      </c>
      <c r="U126" s="41">
        <v>0.1905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37" t="s">
        <v>242</v>
      </c>
      <c r="B127" s="37" t="s">
        <v>308</v>
      </c>
      <c r="C127" s="37">
        <v>36.0</v>
      </c>
      <c r="D127" s="37">
        <v>1.5110626058E10</v>
      </c>
      <c r="E127" s="40"/>
      <c r="F127" s="37" t="s">
        <v>325</v>
      </c>
      <c r="G127" s="40" t="str">
        <f t="shared" si="5"/>
        <v>Pending</v>
      </c>
      <c r="H127" s="40">
        <f t="shared" si="6"/>
        <v>-21</v>
      </c>
      <c r="I127" s="40">
        <f t="shared" si="7"/>
        <v>177</v>
      </c>
      <c r="J127" s="40">
        <f t="shared" si="8"/>
        <v>63</v>
      </c>
      <c r="K127" s="40"/>
      <c r="L127" s="42">
        <v>0.0</v>
      </c>
      <c r="M127" s="42">
        <v>0.0</v>
      </c>
      <c r="N127" s="42">
        <v>0.0</v>
      </c>
      <c r="O127" s="42">
        <v>0.0</v>
      </c>
      <c r="P127" s="42">
        <v>1.0</v>
      </c>
      <c r="Q127" s="42">
        <v>1.0</v>
      </c>
      <c r="R127" s="42">
        <v>1.0</v>
      </c>
      <c r="S127" s="42">
        <v>1.0</v>
      </c>
      <c r="T127" s="41">
        <v>1.0</v>
      </c>
      <c r="U127" s="41">
        <v>0.9048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37" t="s">
        <v>242</v>
      </c>
      <c r="B128" s="37" t="s">
        <v>308</v>
      </c>
      <c r="C128" s="37">
        <v>37.0</v>
      </c>
      <c r="D128" s="37">
        <v>1.5110626059E10</v>
      </c>
      <c r="E128" s="40"/>
      <c r="F128" s="37" t="s">
        <v>327</v>
      </c>
      <c r="G128" s="40" t="str">
        <f t="shared" si="5"/>
        <v>Pending</v>
      </c>
      <c r="H128" s="40">
        <f t="shared" si="6"/>
        <v>-26</v>
      </c>
      <c r="I128" s="40">
        <f t="shared" si="7"/>
        <v>163</v>
      </c>
      <c r="J128" s="40">
        <f t="shared" si="8"/>
        <v>77</v>
      </c>
      <c r="K128" s="40"/>
      <c r="L128" s="42">
        <v>0.0</v>
      </c>
      <c r="M128" s="42">
        <v>0.0</v>
      </c>
      <c r="N128" s="42">
        <v>0.0</v>
      </c>
      <c r="O128" s="42">
        <v>0.0</v>
      </c>
      <c r="P128" s="42">
        <v>1.0</v>
      </c>
      <c r="Q128" s="42">
        <v>0.8571</v>
      </c>
      <c r="R128" s="42">
        <v>0.9048</v>
      </c>
      <c r="S128" s="42">
        <v>0.9524</v>
      </c>
      <c r="T128" s="41">
        <v>1.0</v>
      </c>
      <c r="U128" s="41">
        <v>0.7143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37" t="s">
        <v>242</v>
      </c>
      <c r="B129" s="37" t="s">
        <v>308</v>
      </c>
      <c r="C129" s="37">
        <v>38.0</v>
      </c>
      <c r="D129" s="37">
        <v>1.511062606E10</v>
      </c>
      <c r="E129" s="40"/>
      <c r="F129" s="37" t="s">
        <v>330</v>
      </c>
      <c r="G129" s="40" t="str">
        <f t="shared" si="5"/>
        <v>Pending</v>
      </c>
      <c r="H129" s="40">
        <f t="shared" si="6"/>
        <v>-25</v>
      </c>
      <c r="I129" s="40">
        <f t="shared" si="7"/>
        <v>165</v>
      </c>
      <c r="J129" s="40">
        <f t="shared" si="8"/>
        <v>75</v>
      </c>
      <c r="K129" s="40"/>
      <c r="L129" s="42">
        <v>0.0</v>
      </c>
      <c r="M129" s="42">
        <v>0.0</v>
      </c>
      <c r="N129" s="42">
        <v>0.0</v>
      </c>
      <c r="O129" s="42">
        <v>0.0</v>
      </c>
      <c r="P129" s="42">
        <v>0.5556</v>
      </c>
      <c r="Q129" s="42">
        <v>1.0</v>
      </c>
      <c r="R129" s="42">
        <v>1.0</v>
      </c>
      <c r="S129" s="42">
        <v>1.0</v>
      </c>
      <c r="T129" s="41">
        <v>1.0</v>
      </c>
      <c r="U129" s="41">
        <v>0.9524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37" t="s">
        <v>242</v>
      </c>
      <c r="B130" s="37" t="s">
        <v>308</v>
      </c>
      <c r="C130" s="37">
        <v>39.0</v>
      </c>
      <c r="D130" s="37">
        <v>1.5110626061E10</v>
      </c>
      <c r="E130" s="40"/>
      <c r="F130" s="37" t="s">
        <v>332</v>
      </c>
      <c r="G130" s="40" t="str">
        <f t="shared" si="5"/>
        <v>Pending</v>
      </c>
      <c r="H130" s="40">
        <f t="shared" si="6"/>
        <v>-23</v>
      </c>
      <c r="I130" s="40">
        <f t="shared" si="7"/>
        <v>171</v>
      </c>
      <c r="J130" s="40">
        <f t="shared" si="8"/>
        <v>69</v>
      </c>
      <c r="K130" s="40"/>
      <c r="L130" s="42">
        <v>0.0</v>
      </c>
      <c r="M130" s="42">
        <v>0.0</v>
      </c>
      <c r="N130" s="42">
        <v>0.0</v>
      </c>
      <c r="O130" s="42">
        <v>0.0</v>
      </c>
      <c r="P130" s="42">
        <v>0.8889</v>
      </c>
      <c r="Q130" s="42">
        <v>1.0</v>
      </c>
      <c r="R130" s="42">
        <v>0.8571</v>
      </c>
      <c r="S130" s="42">
        <v>1.0</v>
      </c>
      <c r="T130" s="41">
        <v>1.0</v>
      </c>
      <c r="U130" s="41">
        <v>0.9524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37" t="s">
        <v>242</v>
      </c>
      <c r="B131" s="37" t="s">
        <v>308</v>
      </c>
      <c r="C131" s="37">
        <v>40.0</v>
      </c>
      <c r="D131" s="54">
        <v>1.5110626062E10</v>
      </c>
      <c r="E131" s="40"/>
      <c r="F131" s="55" t="s">
        <v>335</v>
      </c>
      <c r="G131" s="40" t="str">
        <f t="shared" si="5"/>
        <v>Pending</v>
      </c>
      <c r="H131" s="40">
        <f t="shared" si="6"/>
        <v>-35</v>
      </c>
      <c r="I131" s="40">
        <f t="shared" si="7"/>
        <v>134</v>
      </c>
      <c r="J131" s="40">
        <f t="shared" si="8"/>
        <v>106</v>
      </c>
      <c r="K131" s="40"/>
      <c r="L131" s="42">
        <v>0.0</v>
      </c>
      <c r="M131" s="42">
        <v>0.0</v>
      </c>
      <c r="N131" s="42">
        <v>0.0</v>
      </c>
      <c r="O131" s="42">
        <v>0.0</v>
      </c>
      <c r="P131" s="42">
        <v>1.0</v>
      </c>
      <c r="Q131" s="42">
        <v>0.8571</v>
      </c>
      <c r="R131" s="42">
        <v>1.0</v>
      </c>
      <c r="S131" s="42">
        <v>0.9524</v>
      </c>
      <c r="T131" s="41">
        <v>0.6667</v>
      </c>
      <c r="U131" s="42">
        <v>0.0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37" t="s">
        <v>242</v>
      </c>
      <c r="B132" s="37" t="s">
        <v>308</v>
      </c>
      <c r="C132" s="37">
        <v>41.0</v>
      </c>
      <c r="D132" s="37">
        <v>1.5110626063E10</v>
      </c>
      <c r="E132" s="40"/>
      <c r="F132" s="37" t="s">
        <v>337</v>
      </c>
      <c r="G132" s="40" t="str">
        <f t="shared" si="5"/>
        <v>Pending</v>
      </c>
      <c r="H132" s="40">
        <f t="shared" si="6"/>
        <v>-31</v>
      </c>
      <c r="I132" s="40">
        <f t="shared" si="7"/>
        <v>146</v>
      </c>
      <c r="J132" s="40">
        <f t="shared" si="8"/>
        <v>94</v>
      </c>
      <c r="K132" s="40"/>
      <c r="L132" s="42">
        <v>0.0</v>
      </c>
      <c r="M132" s="42">
        <v>0.0</v>
      </c>
      <c r="N132" s="42">
        <v>0.0</v>
      </c>
      <c r="O132" s="42">
        <v>0.0</v>
      </c>
      <c r="P132" s="42">
        <v>0.0</v>
      </c>
      <c r="Q132" s="42">
        <v>0.8571</v>
      </c>
      <c r="R132" s="42">
        <v>1.0</v>
      </c>
      <c r="S132" s="42">
        <v>1.0</v>
      </c>
      <c r="T132" s="41">
        <v>1.0</v>
      </c>
      <c r="U132" s="41">
        <v>1.0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37" t="s">
        <v>242</v>
      </c>
      <c r="B133" s="37" t="s">
        <v>308</v>
      </c>
      <c r="C133" s="37">
        <v>42.0</v>
      </c>
      <c r="D133" s="37">
        <v>1.5110626064E10</v>
      </c>
      <c r="E133" s="40"/>
      <c r="F133" s="37" t="s">
        <v>339</v>
      </c>
      <c r="G133" s="40" t="str">
        <f t="shared" si="5"/>
        <v>Pending</v>
      </c>
      <c r="H133" s="40">
        <f t="shared" si="6"/>
        <v>-32</v>
      </c>
      <c r="I133" s="40">
        <f t="shared" si="7"/>
        <v>145</v>
      </c>
      <c r="J133" s="40">
        <f t="shared" si="8"/>
        <v>95</v>
      </c>
      <c r="K133" s="40"/>
      <c r="L133" s="42">
        <v>0.0</v>
      </c>
      <c r="M133" s="42">
        <v>0.0</v>
      </c>
      <c r="N133" s="42">
        <v>0.0</v>
      </c>
      <c r="O133" s="42">
        <v>0.0</v>
      </c>
      <c r="P133" s="42">
        <v>0.1111</v>
      </c>
      <c r="Q133" s="42">
        <v>0.8571</v>
      </c>
      <c r="R133" s="42">
        <v>0.9048</v>
      </c>
      <c r="S133" s="42">
        <v>1.0</v>
      </c>
      <c r="T133" s="41">
        <v>1.0</v>
      </c>
      <c r="U133" s="41">
        <v>0.9524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37" t="s">
        <v>242</v>
      </c>
      <c r="B134" s="37" t="s">
        <v>308</v>
      </c>
      <c r="C134" s="37">
        <v>43.0</v>
      </c>
      <c r="D134" s="37">
        <v>1.5110626065E10</v>
      </c>
      <c r="E134" s="40"/>
      <c r="F134" s="37" t="s">
        <v>341</v>
      </c>
      <c r="G134" s="40" t="str">
        <f t="shared" si="5"/>
        <v>Pending</v>
      </c>
      <c r="H134" s="40">
        <f t="shared" si="6"/>
        <v>-31</v>
      </c>
      <c r="I134" s="40">
        <f t="shared" si="7"/>
        <v>147</v>
      </c>
      <c r="J134" s="40">
        <f t="shared" si="8"/>
        <v>93</v>
      </c>
      <c r="K134" s="40"/>
      <c r="L134" s="42">
        <v>0.0</v>
      </c>
      <c r="M134" s="42">
        <v>0.0</v>
      </c>
      <c r="N134" s="42">
        <v>0.0</v>
      </c>
      <c r="O134" s="42">
        <v>0.0</v>
      </c>
      <c r="P134" s="42">
        <v>1.0</v>
      </c>
      <c r="Q134" s="42">
        <v>0.7619</v>
      </c>
      <c r="R134" s="42">
        <v>0.8095</v>
      </c>
      <c r="S134" s="42">
        <v>0.4286</v>
      </c>
      <c r="T134" s="41">
        <v>0.9524</v>
      </c>
      <c r="U134" s="41">
        <v>0.9524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37" t="s">
        <v>242</v>
      </c>
      <c r="B135" s="37" t="s">
        <v>308</v>
      </c>
      <c r="C135" s="37">
        <v>44.0</v>
      </c>
      <c r="D135" s="37">
        <v>1.5110626068E10</v>
      </c>
      <c r="E135" s="40"/>
      <c r="F135" s="37" t="s">
        <v>343</v>
      </c>
      <c r="G135" s="40" t="str">
        <f t="shared" si="5"/>
        <v>Pending</v>
      </c>
      <c r="H135" s="40">
        <f t="shared" si="6"/>
        <v>-40</v>
      </c>
      <c r="I135" s="40">
        <f t="shared" si="7"/>
        <v>120</v>
      </c>
      <c r="J135" s="40">
        <f t="shared" si="8"/>
        <v>120</v>
      </c>
      <c r="K135" s="40"/>
      <c r="L135" s="42">
        <v>0.0</v>
      </c>
      <c r="M135" s="42">
        <v>0.0</v>
      </c>
      <c r="N135" s="42">
        <v>0.0</v>
      </c>
      <c r="O135" s="42">
        <v>0.0</v>
      </c>
      <c r="P135" s="42">
        <v>0.0</v>
      </c>
      <c r="Q135" s="42">
        <v>0.05</v>
      </c>
      <c r="R135" s="42">
        <v>1.0</v>
      </c>
      <c r="S135" s="42">
        <v>1.0</v>
      </c>
      <c r="T135" s="41">
        <v>0.9524</v>
      </c>
      <c r="U135" s="41">
        <v>1.0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37" t="s">
        <v>242</v>
      </c>
      <c r="B136" s="37" t="s">
        <v>308</v>
      </c>
      <c r="C136" s="37">
        <v>45.0</v>
      </c>
      <c r="D136" s="37">
        <v>1.5110626071E10</v>
      </c>
      <c r="E136" s="40"/>
      <c r="F136" s="37" t="s">
        <v>345</v>
      </c>
      <c r="G136" s="40" t="str">
        <f t="shared" si="5"/>
        <v>Pending</v>
      </c>
      <c r="H136" s="40">
        <f t="shared" si="6"/>
        <v>-47</v>
      </c>
      <c r="I136" s="40">
        <f t="shared" si="7"/>
        <v>98</v>
      </c>
      <c r="J136" s="40">
        <f t="shared" si="8"/>
        <v>142</v>
      </c>
      <c r="K136" s="40"/>
      <c r="L136" s="42">
        <v>0.0</v>
      </c>
      <c r="M136" s="42">
        <v>0.0</v>
      </c>
      <c r="N136" s="42">
        <v>0.0</v>
      </c>
      <c r="O136" s="42">
        <v>0.0</v>
      </c>
      <c r="P136" s="42">
        <v>0.0</v>
      </c>
      <c r="Q136" s="42">
        <v>0.5</v>
      </c>
      <c r="R136" s="42">
        <v>0.4286</v>
      </c>
      <c r="S136" s="42">
        <v>0.9524</v>
      </c>
      <c r="T136" s="41">
        <v>1.0</v>
      </c>
      <c r="U136" s="41">
        <v>0.381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37" t="s">
        <v>242</v>
      </c>
      <c r="B137" s="37" t="s">
        <v>308</v>
      </c>
      <c r="C137" s="37">
        <v>46.0</v>
      </c>
      <c r="D137" s="37">
        <v>1.5110626072E10</v>
      </c>
      <c r="E137" s="40"/>
      <c r="F137" s="37" t="s">
        <v>347</v>
      </c>
      <c r="G137" s="40" t="str">
        <f t="shared" si="5"/>
        <v>Pending</v>
      </c>
      <c r="H137" s="40">
        <f t="shared" si="6"/>
        <v>-36</v>
      </c>
      <c r="I137" s="40">
        <f t="shared" si="7"/>
        <v>133</v>
      </c>
      <c r="J137" s="40">
        <f t="shared" si="8"/>
        <v>107</v>
      </c>
      <c r="K137" s="40"/>
      <c r="L137" s="42">
        <v>0.0</v>
      </c>
      <c r="M137" s="42">
        <v>0.0</v>
      </c>
      <c r="N137" s="42">
        <v>0.0</v>
      </c>
      <c r="O137" s="42">
        <v>0.0</v>
      </c>
      <c r="P137" s="42">
        <v>0.0</v>
      </c>
      <c r="Q137" s="42">
        <v>0.75</v>
      </c>
      <c r="R137" s="42">
        <v>1.0</v>
      </c>
      <c r="S137" s="42">
        <v>0.9524</v>
      </c>
      <c r="T137" s="41">
        <v>1.0</v>
      </c>
      <c r="U137" s="41">
        <v>0.7143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37" t="s">
        <v>242</v>
      </c>
      <c r="B138" s="37" t="s">
        <v>308</v>
      </c>
      <c r="C138" s="37">
        <v>47.0</v>
      </c>
      <c r="D138" s="37">
        <v>1.5110626073E10</v>
      </c>
      <c r="E138" s="40"/>
      <c r="F138" s="37" t="s">
        <v>349</v>
      </c>
      <c r="G138" s="40" t="str">
        <f t="shared" si="5"/>
        <v>Pending</v>
      </c>
      <c r="H138" s="40">
        <f t="shared" si="6"/>
        <v>-34</v>
      </c>
      <c r="I138" s="40">
        <f t="shared" si="7"/>
        <v>139</v>
      </c>
      <c r="J138" s="40">
        <f t="shared" si="8"/>
        <v>101</v>
      </c>
      <c r="K138" s="40"/>
      <c r="L138" s="42">
        <v>0.0</v>
      </c>
      <c r="M138" s="42">
        <v>0.0</v>
      </c>
      <c r="N138" s="42">
        <v>0.0</v>
      </c>
      <c r="O138" s="42">
        <v>0.0</v>
      </c>
      <c r="P138" s="42">
        <v>0.0</v>
      </c>
      <c r="Q138" s="42">
        <v>0.875</v>
      </c>
      <c r="R138" s="42">
        <v>0.9048</v>
      </c>
      <c r="S138" s="42">
        <v>0.8571</v>
      </c>
      <c r="T138" s="41">
        <v>1.0</v>
      </c>
      <c r="U138" s="41">
        <v>1.0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37" t="s">
        <v>242</v>
      </c>
      <c r="B139" s="37" t="s">
        <v>308</v>
      </c>
      <c r="C139" s="37">
        <v>48.0</v>
      </c>
      <c r="D139" s="37">
        <v>1.5110626074E10</v>
      </c>
      <c r="E139" s="40"/>
      <c r="F139" s="37" t="s">
        <v>351</v>
      </c>
      <c r="G139" s="40" t="str">
        <f t="shared" si="5"/>
        <v>Pending</v>
      </c>
      <c r="H139" s="40">
        <f t="shared" si="6"/>
        <v>-34</v>
      </c>
      <c r="I139" s="40">
        <f t="shared" si="7"/>
        <v>139</v>
      </c>
      <c r="J139" s="40">
        <f t="shared" si="8"/>
        <v>101</v>
      </c>
      <c r="K139" s="40"/>
      <c r="L139" s="42">
        <v>0.0</v>
      </c>
      <c r="M139" s="42">
        <v>0.0</v>
      </c>
      <c r="N139" s="42">
        <v>0.0</v>
      </c>
      <c r="O139" s="42">
        <v>0.0</v>
      </c>
      <c r="P139" s="42">
        <v>0.0</v>
      </c>
      <c r="Q139" s="42">
        <v>0.8125</v>
      </c>
      <c r="R139" s="42">
        <v>1.0</v>
      </c>
      <c r="S139" s="42">
        <v>0.8571</v>
      </c>
      <c r="T139" s="41">
        <v>1.0</v>
      </c>
      <c r="U139" s="41">
        <v>0.9524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37" t="s">
        <v>242</v>
      </c>
      <c r="B140" s="37" t="s">
        <v>308</v>
      </c>
      <c r="C140" s="37">
        <v>49.0</v>
      </c>
      <c r="D140" s="37">
        <v>1.5110626075E10</v>
      </c>
      <c r="E140" s="37">
        <v>2.61002001E8</v>
      </c>
      <c r="F140" s="37" t="s">
        <v>353</v>
      </c>
      <c r="G140" s="40" t="str">
        <f t="shared" si="5"/>
        <v>Pending</v>
      </c>
      <c r="H140" s="40">
        <f t="shared" si="6"/>
        <v>-39</v>
      </c>
      <c r="I140" s="40">
        <f t="shared" si="7"/>
        <v>124</v>
      </c>
      <c r="J140" s="40">
        <f t="shared" si="8"/>
        <v>116</v>
      </c>
      <c r="K140" s="40"/>
      <c r="L140" s="42">
        <v>0.0</v>
      </c>
      <c r="M140" s="42">
        <v>0.0</v>
      </c>
      <c r="N140" s="42">
        <v>0.0</v>
      </c>
      <c r="O140" s="42">
        <v>0.0</v>
      </c>
      <c r="P140" s="42">
        <v>0.0</v>
      </c>
      <c r="Q140" s="42">
        <v>0.4167</v>
      </c>
      <c r="R140" s="42">
        <v>1.0</v>
      </c>
      <c r="S140" s="42">
        <v>1.0</v>
      </c>
      <c r="T140" s="41">
        <v>0.8095</v>
      </c>
      <c r="U140" s="41">
        <v>0.9048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37" t="s">
        <v>242</v>
      </c>
      <c r="B141" s="37" t="s">
        <v>308</v>
      </c>
      <c r="C141" s="37">
        <v>50.0</v>
      </c>
      <c r="D141" s="37">
        <v>1.5110626076E10</v>
      </c>
      <c r="E141" s="40"/>
      <c r="F141" s="37" t="s">
        <v>355</v>
      </c>
      <c r="G141" s="40" t="str">
        <f t="shared" si="5"/>
        <v>Pending</v>
      </c>
      <c r="H141" s="40">
        <f t="shared" si="6"/>
        <v>-56</v>
      </c>
      <c r="I141" s="40">
        <f t="shared" si="7"/>
        <v>72</v>
      </c>
      <c r="J141" s="40">
        <f t="shared" si="8"/>
        <v>168</v>
      </c>
      <c r="K141" s="40"/>
      <c r="L141" s="42">
        <v>0.0</v>
      </c>
      <c r="M141" s="42">
        <v>0.0</v>
      </c>
      <c r="N141" s="42">
        <v>0.0</v>
      </c>
      <c r="O141" s="42">
        <v>0.0</v>
      </c>
      <c r="P141" s="42">
        <v>0.0</v>
      </c>
      <c r="Q141" s="42">
        <v>0.0833</v>
      </c>
      <c r="R141" s="42">
        <v>0.5714</v>
      </c>
      <c r="S141" s="42">
        <v>0.5714</v>
      </c>
      <c r="T141" s="41">
        <v>0.5238</v>
      </c>
      <c r="U141" s="41">
        <v>0.6667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37" t="s">
        <v>242</v>
      </c>
      <c r="B142" s="37" t="s">
        <v>308</v>
      </c>
      <c r="C142" s="37">
        <v>51.0</v>
      </c>
      <c r="D142" s="37">
        <v>1.5110626077E10</v>
      </c>
      <c r="E142" s="40"/>
      <c r="F142" s="37" t="s">
        <v>357</v>
      </c>
      <c r="G142" s="40" t="str">
        <f t="shared" si="5"/>
        <v>Pending</v>
      </c>
      <c r="H142" s="40">
        <f t="shared" si="6"/>
        <v>-35</v>
      </c>
      <c r="I142" s="40">
        <f t="shared" si="7"/>
        <v>136</v>
      </c>
      <c r="J142" s="40">
        <f t="shared" si="8"/>
        <v>104</v>
      </c>
      <c r="K142" s="40"/>
      <c r="L142" s="42">
        <v>0.0</v>
      </c>
      <c r="M142" s="42">
        <v>0.0</v>
      </c>
      <c r="N142" s="42">
        <v>0.0</v>
      </c>
      <c r="O142" s="42">
        <v>0.0</v>
      </c>
      <c r="P142" s="42">
        <v>0.0</v>
      </c>
      <c r="Q142" s="42">
        <v>0.8333</v>
      </c>
      <c r="R142" s="42">
        <v>1.0</v>
      </c>
      <c r="S142" s="42">
        <v>0.8095</v>
      </c>
      <c r="T142" s="41">
        <v>1.0</v>
      </c>
      <c r="U142" s="41">
        <v>0.9048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37" t="s">
        <v>242</v>
      </c>
      <c r="B143" s="37" t="s">
        <v>308</v>
      </c>
      <c r="C143" s="37">
        <v>52.0</v>
      </c>
      <c r="D143" s="37">
        <v>1.5110626078E10</v>
      </c>
      <c r="E143" s="40"/>
      <c r="F143" s="37" t="s">
        <v>361</v>
      </c>
      <c r="G143" s="40" t="str">
        <f t="shared" si="5"/>
        <v>Pending</v>
      </c>
      <c r="H143" s="40">
        <f t="shared" si="6"/>
        <v>-34</v>
      </c>
      <c r="I143" s="40">
        <f t="shared" si="7"/>
        <v>138</v>
      </c>
      <c r="J143" s="40">
        <f t="shared" si="8"/>
        <v>102</v>
      </c>
      <c r="K143" s="40"/>
      <c r="L143" s="42">
        <v>0.0</v>
      </c>
      <c r="M143" s="42">
        <v>0.0</v>
      </c>
      <c r="N143" s="42">
        <v>0.0</v>
      </c>
      <c r="O143" s="42">
        <v>0.0</v>
      </c>
      <c r="P143" s="42">
        <v>0.0</v>
      </c>
      <c r="Q143" s="42">
        <v>0.8333</v>
      </c>
      <c r="R143" s="42">
        <v>0.8571</v>
      </c>
      <c r="S143" s="42">
        <v>0.9048</v>
      </c>
      <c r="T143" s="41">
        <v>1.0</v>
      </c>
      <c r="U143" s="41">
        <v>1.0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37" t="s">
        <v>242</v>
      </c>
      <c r="B144" s="37" t="s">
        <v>308</v>
      </c>
      <c r="C144" s="37">
        <v>53.0</v>
      </c>
      <c r="D144" s="37">
        <v>1.5110626079E10</v>
      </c>
      <c r="E144" s="40"/>
      <c r="F144" s="37" t="s">
        <v>362</v>
      </c>
      <c r="G144" s="40" t="str">
        <f t="shared" si="5"/>
        <v>Pending</v>
      </c>
      <c r="H144" s="40">
        <f t="shared" si="6"/>
        <v>-31</v>
      </c>
      <c r="I144" s="40">
        <f t="shared" si="7"/>
        <v>147</v>
      </c>
      <c r="J144" s="40">
        <f t="shared" si="8"/>
        <v>93</v>
      </c>
      <c r="K144" s="40"/>
      <c r="L144" s="42">
        <v>0.0</v>
      </c>
      <c r="M144" s="42">
        <v>0.0</v>
      </c>
      <c r="N144" s="42">
        <v>0.0</v>
      </c>
      <c r="O144" s="42">
        <v>0.0</v>
      </c>
      <c r="P144" s="42">
        <v>0.0</v>
      </c>
      <c r="Q144" s="42">
        <v>1.0</v>
      </c>
      <c r="R144" s="42">
        <v>1.0</v>
      </c>
      <c r="S144" s="42">
        <v>0.9524</v>
      </c>
      <c r="T144" s="41">
        <v>1.0</v>
      </c>
      <c r="U144" s="41">
        <v>0.9524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37" t="s">
        <v>242</v>
      </c>
      <c r="B145" s="37" t="s">
        <v>308</v>
      </c>
      <c r="C145" s="37">
        <v>54.0</v>
      </c>
      <c r="D145" s="37">
        <v>1.511062608E10</v>
      </c>
      <c r="E145" s="40"/>
      <c r="F145" s="37" t="s">
        <v>363</v>
      </c>
      <c r="G145" s="40" t="str">
        <f t="shared" si="5"/>
        <v>Pending</v>
      </c>
      <c r="H145" s="40">
        <f t="shared" si="6"/>
        <v>-31</v>
      </c>
      <c r="I145" s="40">
        <f t="shared" si="7"/>
        <v>146</v>
      </c>
      <c r="J145" s="40">
        <f t="shared" si="8"/>
        <v>94</v>
      </c>
      <c r="K145" s="40"/>
      <c r="L145" s="42">
        <v>0.0</v>
      </c>
      <c r="M145" s="42">
        <v>0.0</v>
      </c>
      <c r="N145" s="42">
        <v>0.0</v>
      </c>
      <c r="O145" s="42">
        <v>0.0</v>
      </c>
      <c r="P145" s="42">
        <v>0.0</v>
      </c>
      <c r="Q145" s="42">
        <v>1.0</v>
      </c>
      <c r="R145" s="42">
        <v>1.0</v>
      </c>
      <c r="S145" s="42">
        <v>0.9048</v>
      </c>
      <c r="T145" s="41">
        <v>1.0</v>
      </c>
      <c r="U145" s="41">
        <v>0.9524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37" t="s">
        <v>242</v>
      </c>
      <c r="B146" s="37" t="s">
        <v>308</v>
      </c>
      <c r="C146" s="37">
        <v>55.0</v>
      </c>
      <c r="D146" s="37">
        <v>1.5110626081E10</v>
      </c>
      <c r="E146" s="40"/>
      <c r="F146" s="37" t="s">
        <v>364</v>
      </c>
      <c r="G146" s="40" t="str">
        <f t="shared" si="5"/>
        <v>Pending</v>
      </c>
      <c r="H146" s="40">
        <f t="shared" si="6"/>
        <v>-31</v>
      </c>
      <c r="I146" s="40">
        <f t="shared" si="7"/>
        <v>147</v>
      </c>
      <c r="J146" s="40">
        <f t="shared" si="8"/>
        <v>93</v>
      </c>
      <c r="K146" s="40"/>
      <c r="L146" s="42">
        <v>0.0</v>
      </c>
      <c r="M146" s="42">
        <v>0.0</v>
      </c>
      <c r="N146" s="42">
        <v>0.0</v>
      </c>
      <c r="O146" s="42">
        <v>0.0</v>
      </c>
      <c r="P146" s="42">
        <v>0.0</v>
      </c>
      <c r="Q146" s="42">
        <v>1.0</v>
      </c>
      <c r="R146" s="42">
        <v>1.0</v>
      </c>
      <c r="S146" s="42">
        <v>0.9524</v>
      </c>
      <c r="T146" s="41">
        <v>1.0</v>
      </c>
      <c r="U146" s="41">
        <v>0.9524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37" t="s">
        <v>242</v>
      </c>
      <c r="B147" s="37" t="s">
        <v>308</v>
      </c>
      <c r="C147" s="37">
        <v>56.0</v>
      </c>
      <c r="D147" s="37">
        <v>1.5110626082E10</v>
      </c>
      <c r="E147" s="40"/>
      <c r="F147" s="37" t="s">
        <v>365</v>
      </c>
      <c r="G147" s="40" t="str">
        <f t="shared" si="5"/>
        <v>Pending</v>
      </c>
      <c r="H147" s="40">
        <f t="shared" si="6"/>
        <v>-41</v>
      </c>
      <c r="I147" s="40">
        <f t="shared" si="7"/>
        <v>117</v>
      </c>
      <c r="J147" s="40">
        <f t="shared" si="8"/>
        <v>123</v>
      </c>
      <c r="K147" s="40"/>
      <c r="L147" s="42">
        <v>0.0</v>
      </c>
      <c r="M147" s="42">
        <v>0.0</v>
      </c>
      <c r="N147" s="42">
        <v>0.0</v>
      </c>
      <c r="O147" s="42">
        <v>0.0</v>
      </c>
      <c r="P147" s="42">
        <v>0.0</v>
      </c>
      <c r="Q147" s="42">
        <v>0.75</v>
      </c>
      <c r="R147" s="42">
        <v>0.4762</v>
      </c>
      <c r="S147" s="42">
        <v>0.8571</v>
      </c>
      <c r="T147" s="41">
        <v>0.8095</v>
      </c>
      <c r="U147" s="41">
        <v>1.0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37" t="s">
        <v>242</v>
      </c>
      <c r="B148" s="37" t="s">
        <v>366</v>
      </c>
      <c r="C148" s="37">
        <v>57.0</v>
      </c>
      <c r="D148" s="37">
        <v>1.5110626083E10</v>
      </c>
      <c r="E148" s="40"/>
      <c r="F148" s="37" t="s">
        <v>367</v>
      </c>
      <c r="G148" s="40" t="str">
        <f t="shared" si="5"/>
        <v>Pending</v>
      </c>
      <c r="H148" s="40">
        <f t="shared" si="6"/>
        <v>-41</v>
      </c>
      <c r="I148" s="40">
        <f t="shared" si="7"/>
        <v>117</v>
      </c>
      <c r="J148" s="40">
        <f t="shared" si="8"/>
        <v>123</v>
      </c>
      <c r="K148" s="40"/>
      <c r="L148" s="42">
        <v>0.0</v>
      </c>
      <c r="M148" s="42">
        <v>0.0</v>
      </c>
      <c r="N148" s="42">
        <v>0.0</v>
      </c>
      <c r="O148" s="42">
        <v>0.0</v>
      </c>
      <c r="P148" s="42">
        <v>0.0</v>
      </c>
      <c r="Q148" s="42">
        <v>0.5833</v>
      </c>
      <c r="R148" s="42">
        <v>0.9524</v>
      </c>
      <c r="S148" s="42">
        <v>0.619</v>
      </c>
      <c r="T148" s="56">
        <v>0.8095</v>
      </c>
      <c r="U148" s="41">
        <v>0.9524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37" t="s">
        <v>242</v>
      </c>
      <c r="B149" s="37" t="s">
        <v>366</v>
      </c>
      <c r="C149" s="37">
        <v>58.0</v>
      </c>
      <c r="D149" s="57">
        <v>1.5110626084E10</v>
      </c>
      <c r="E149" s="40"/>
      <c r="F149" s="37" t="s">
        <v>370</v>
      </c>
      <c r="G149" s="40" t="str">
        <f t="shared" si="5"/>
        <v>Pending</v>
      </c>
      <c r="H149" s="40">
        <f t="shared" si="6"/>
        <v>-37</v>
      </c>
      <c r="I149" s="40">
        <f t="shared" si="7"/>
        <v>128</v>
      </c>
      <c r="J149" s="40">
        <f t="shared" si="8"/>
        <v>112</v>
      </c>
      <c r="K149" s="40"/>
      <c r="L149" s="42">
        <v>0.0</v>
      </c>
      <c r="M149" s="42">
        <v>0.0</v>
      </c>
      <c r="N149" s="42">
        <v>0.0</v>
      </c>
      <c r="O149" s="42">
        <v>0.0</v>
      </c>
      <c r="P149" s="42">
        <v>0.0</v>
      </c>
      <c r="Q149" s="42">
        <v>0.75</v>
      </c>
      <c r="R149" s="42">
        <v>0.9524</v>
      </c>
      <c r="S149" s="42">
        <v>0.8571</v>
      </c>
      <c r="T149" s="41">
        <v>0.7619</v>
      </c>
      <c r="U149" s="41">
        <v>0.9524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37" t="s">
        <v>242</v>
      </c>
      <c r="B150" s="37" t="s">
        <v>366</v>
      </c>
      <c r="C150" s="37">
        <v>59.0</v>
      </c>
      <c r="D150" s="58">
        <v>1.5110626085E10</v>
      </c>
      <c r="E150" s="40"/>
      <c r="F150" s="37" t="s">
        <v>372</v>
      </c>
      <c r="G150" s="40" t="str">
        <f t="shared" si="5"/>
        <v>Pending</v>
      </c>
      <c r="H150" s="40">
        <f t="shared" si="6"/>
        <v>-58</v>
      </c>
      <c r="I150" s="40">
        <f t="shared" si="7"/>
        <v>65</v>
      </c>
      <c r="J150" s="40">
        <f t="shared" si="8"/>
        <v>175</v>
      </c>
      <c r="K150" s="40"/>
      <c r="L150" s="42">
        <v>0.0</v>
      </c>
      <c r="M150" s="42">
        <v>0.0</v>
      </c>
      <c r="N150" s="42">
        <v>0.0</v>
      </c>
      <c r="O150" s="42">
        <v>0.0</v>
      </c>
      <c r="P150" s="42">
        <v>0.0</v>
      </c>
      <c r="Q150" s="42">
        <v>0.3636</v>
      </c>
      <c r="R150" s="42">
        <v>0.9524</v>
      </c>
      <c r="S150" s="42">
        <v>0.8571</v>
      </c>
      <c r="T150" s="42">
        <v>0.0</v>
      </c>
      <c r="U150" s="42">
        <v>0.0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37" t="s">
        <v>242</v>
      </c>
      <c r="B151" s="37" t="s">
        <v>366</v>
      </c>
      <c r="C151" s="37">
        <v>60.0</v>
      </c>
      <c r="D151" s="58">
        <v>1.5110626086E10</v>
      </c>
      <c r="E151" s="40"/>
      <c r="F151" s="37" t="s">
        <v>374</v>
      </c>
      <c r="G151" s="40" t="str">
        <f t="shared" si="5"/>
        <v>Pending</v>
      </c>
      <c r="H151" s="40">
        <f t="shared" si="6"/>
        <v>-58</v>
      </c>
      <c r="I151" s="40">
        <f t="shared" si="7"/>
        <v>65</v>
      </c>
      <c r="J151" s="40">
        <f t="shared" si="8"/>
        <v>175</v>
      </c>
      <c r="K151" s="40"/>
      <c r="L151" s="42">
        <v>0.0</v>
      </c>
      <c r="M151" s="42">
        <v>0.0</v>
      </c>
      <c r="N151" s="42">
        <v>0.0</v>
      </c>
      <c r="O151" s="42">
        <v>0.0</v>
      </c>
      <c r="P151" s="42">
        <v>0.0</v>
      </c>
      <c r="Q151" s="42">
        <v>0.3636</v>
      </c>
      <c r="R151" s="42">
        <v>0.9524</v>
      </c>
      <c r="S151" s="42">
        <v>0.8571</v>
      </c>
      <c r="T151" s="42">
        <v>0.0</v>
      </c>
      <c r="U151" s="42">
        <v>0.0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37" t="s">
        <v>242</v>
      </c>
      <c r="B152" s="37" t="s">
        <v>366</v>
      </c>
      <c r="C152" s="37">
        <v>61.0</v>
      </c>
      <c r="D152" s="37">
        <v>1.5110626087E10</v>
      </c>
      <c r="E152" s="40"/>
      <c r="F152" s="37" t="s">
        <v>376</v>
      </c>
      <c r="G152" s="40" t="str">
        <f t="shared" si="5"/>
        <v>Pending</v>
      </c>
      <c r="H152" s="40">
        <f t="shared" si="6"/>
        <v>-33</v>
      </c>
      <c r="I152" s="40">
        <f t="shared" si="7"/>
        <v>141</v>
      </c>
      <c r="J152" s="40">
        <f t="shared" si="8"/>
        <v>99</v>
      </c>
      <c r="K152" s="40"/>
      <c r="L152" s="42">
        <v>0.0</v>
      </c>
      <c r="M152" s="42">
        <v>0.0</v>
      </c>
      <c r="N152" s="42">
        <v>0.0</v>
      </c>
      <c r="O152" s="42">
        <v>0.0</v>
      </c>
      <c r="P152" s="42">
        <v>0.0</v>
      </c>
      <c r="Q152" s="42">
        <v>0.7</v>
      </c>
      <c r="R152" s="42">
        <v>1.0</v>
      </c>
      <c r="S152" s="42">
        <v>1.0</v>
      </c>
      <c r="T152" s="41">
        <v>1.0</v>
      </c>
      <c r="U152" s="41">
        <v>1.0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37" t="s">
        <v>242</v>
      </c>
      <c r="B153" s="37" t="s">
        <v>366</v>
      </c>
      <c r="C153" s="37">
        <v>62.0</v>
      </c>
      <c r="D153" s="37">
        <v>1.5110626088E10</v>
      </c>
      <c r="E153" s="40"/>
      <c r="F153" s="37" t="s">
        <v>378</v>
      </c>
      <c r="G153" s="40" t="str">
        <f t="shared" si="5"/>
        <v>Pending</v>
      </c>
      <c r="H153" s="40">
        <f t="shared" si="6"/>
        <v>-43</v>
      </c>
      <c r="I153" s="40">
        <f t="shared" si="7"/>
        <v>110</v>
      </c>
      <c r="J153" s="40">
        <f t="shared" si="8"/>
        <v>130</v>
      </c>
      <c r="K153" s="40"/>
      <c r="L153" s="42">
        <v>0.0</v>
      </c>
      <c r="M153" s="42">
        <v>0.0</v>
      </c>
      <c r="N153" s="42">
        <v>0.0</v>
      </c>
      <c r="O153" s="42">
        <v>0.0</v>
      </c>
      <c r="P153" s="42">
        <v>0.0</v>
      </c>
      <c r="Q153" s="42">
        <v>0.1</v>
      </c>
      <c r="R153" s="42">
        <v>0.8095</v>
      </c>
      <c r="S153" s="42">
        <v>1.0</v>
      </c>
      <c r="T153" s="41">
        <v>0.7619</v>
      </c>
      <c r="U153" s="41">
        <v>1.0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37" t="s">
        <v>242</v>
      </c>
      <c r="B154" s="37" t="s">
        <v>366</v>
      </c>
      <c r="C154" s="37">
        <v>63.0</v>
      </c>
      <c r="D154" s="37">
        <v>1.5110626089E10</v>
      </c>
      <c r="E154" s="40"/>
      <c r="F154" s="37" t="s">
        <v>380</v>
      </c>
      <c r="G154" s="40" t="str">
        <f t="shared" si="5"/>
        <v>Pending</v>
      </c>
      <c r="H154" s="40">
        <f t="shared" si="6"/>
        <v>-46</v>
      </c>
      <c r="I154" s="40">
        <f t="shared" si="7"/>
        <v>102</v>
      </c>
      <c r="J154" s="40">
        <f t="shared" si="8"/>
        <v>138</v>
      </c>
      <c r="K154" s="40"/>
      <c r="L154" s="42">
        <v>0.0</v>
      </c>
      <c r="M154" s="42">
        <v>0.0</v>
      </c>
      <c r="N154" s="42">
        <v>0.0</v>
      </c>
      <c r="O154" s="42">
        <v>0.0</v>
      </c>
      <c r="P154" s="42">
        <v>0.0</v>
      </c>
      <c r="Q154" s="42">
        <v>0.1</v>
      </c>
      <c r="R154" s="42">
        <v>0.7619</v>
      </c>
      <c r="S154" s="42">
        <v>0.9048</v>
      </c>
      <c r="T154" s="41">
        <v>0.8095</v>
      </c>
      <c r="U154" s="41">
        <v>0.8095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37" t="s">
        <v>242</v>
      </c>
      <c r="B155" s="37" t="s">
        <v>366</v>
      </c>
      <c r="C155" s="37">
        <v>64.0</v>
      </c>
      <c r="D155" s="37">
        <v>1.511062609E10</v>
      </c>
      <c r="E155" s="40"/>
      <c r="F155" s="37" t="s">
        <v>382</v>
      </c>
      <c r="G155" s="40" t="str">
        <f t="shared" si="5"/>
        <v>Pending</v>
      </c>
      <c r="H155" s="40">
        <f t="shared" si="6"/>
        <v>-40</v>
      </c>
      <c r="I155" s="40">
        <f t="shared" si="7"/>
        <v>121</v>
      </c>
      <c r="J155" s="40">
        <f t="shared" si="8"/>
        <v>119</v>
      </c>
      <c r="K155" s="40"/>
      <c r="L155" s="42">
        <v>0.0</v>
      </c>
      <c r="M155" s="42">
        <v>0.0</v>
      </c>
      <c r="N155" s="42">
        <v>0.0</v>
      </c>
      <c r="O155" s="42">
        <v>0.0</v>
      </c>
      <c r="P155" s="42">
        <v>0.0</v>
      </c>
      <c r="Q155" s="42">
        <v>0.2857</v>
      </c>
      <c r="R155" s="42">
        <v>1.0</v>
      </c>
      <c r="S155" s="42">
        <v>0.9048</v>
      </c>
      <c r="T155" s="41">
        <v>0.8571</v>
      </c>
      <c r="U155" s="41">
        <v>1.0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37" t="s">
        <v>242</v>
      </c>
      <c r="B156" s="37" t="s">
        <v>366</v>
      </c>
      <c r="C156" s="37">
        <v>65.0</v>
      </c>
      <c r="D156" s="37">
        <v>1.5110626091E10</v>
      </c>
      <c r="E156" s="40"/>
      <c r="F156" s="37" t="s">
        <v>384</v>
      </c>
      <c r="G156" s="40" t="str">
        <f t="shared" si="5"/>
        <v>Pending</v>
      </c>
      <c r="H156" s="40">
        <f t="shared" si="6"/>
        <v>-33</v>
      </c>
      <c r="I156" s="40">
        <f t="shared" si="7"/>
        <v>141</v>
      </c>
      <c r="J156" s="40">
        <f t="shared" si="8"/>
        <v>99</v>
      </c>
      <c r="K156" s="40"/>
      <c r="L156" s="42">
        <v>0.0</v>
      </c>
      <c r="M156" s="42">
        <v>0.0</v>
      </c>
      <c r="N156" s="42">
        <v>0.0</v>
      </c>
      <c r="O156" s="42">
        <v>0.0</v>
      </c>
      <c r="P156" s="42">
        <v>0.0</v>
      </c>
      <c r="Q156" s="42">
        <v>1.0</v>
      </c>
      <c r="R156" s="42">
        <v>1.0</v>
      </c>
      <c r="S156" s="42">
        <v>0.9048</v>
      </c>
      <c r="T156" s="41">
        <v>0.8095</v>
      </c>
      <c r="U156" s="41">
        <v>1.0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37" t="s">
        <v>242</v>
      </c>
      <c r="B157" s="37" t="s">
        <v>366</v>
      </c>
      <c r="C157" s="37">
        <v>66.0</v>
      </c>
      <c r="D157" s="37">
        <v>1.5110626092E10</v>
      </c>
      <c r="E157" s="40"/>
      <c r="F157" s="37" t="s">
        <v>385</v>
      </c>
      <c r="G157" s="40" t="str">
        <f t="shared" si="5"/>
        <v>Pending</v>
      </c>
      <c r="H157" s="40">
        <f t="shared" si="6"/>
        <v>-49</v>
      </c>
      <c r="I157" s="40">
        <f t="shared" si="7"/>
        <v>94</v>
      </c>
      <c r="J157" s="40">
        <f t="shared" si="8"/>
        <v>146</v>
      </c>
      <c r="K157" s="40"/>
      <c r="L157" s="42">
        <v>0.0</v>
      </c>
      <c r="M157" s="42">
        <v>0.0</v>
      </c>
      <c r="N157" s="42">
        <v>0.0</v>
      </c>
      <c r="O157" s="42">
        <v>0.0</v>
      </c>
      <c r="P157" s="42">
        <v>0.0</v>
      </c>
      <c r="Q157" s="42">
        <v>0.1429</v>
      </c>
      <c r="R157" s="42">
        <v>0.4762</v>
      </c>
      <c r="S157" s="42">
        <v>0.8095</v>
      </c>
      <c r="T157" s="41">
        <v>0.8095</v>
      </c>
      <c r="U157" s="41">
        <v>0.9048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37" t="s">
        <v>242</v>
      </c>
      <c r="B158" s="37" t="s">
        <v>366</v>
      </c>
      <c r="C158" s="37">
        <v>67.0</v>
      </c>
      <c r="D158" s="37">
        <v>1.5110626093E10</v>
      </c>
      <c r="E158" s="40"/>
      <c r="F158" s="37" t="s">
        <v>386</v>
      </c>
      <c r="G158" s="40" t="str">
        <f t="shared" si="5"/>
        <v>Pending</v>
      </c>
      <c r="H158" s="40">
        <f t="shared" si="6"/>
        <v>-34</v>
      </c>
      <c r="I158" s="40">
        <f t="shared" si="7"/>
        <v>137</v>
      </c>
      <c r="J158" s="40">
        <f t="shared" si="8"/>
        <v>103</v>
      </c>
      <c r="K158" s="40"/>
      <c r="L158" s="42">
        <v>0.0</v>
      </c>
      <c r="M158" s="42">
        <v>0.0</v>
      </c>
      <c r="N158" s="42">
        <v>0.0</v>
      </c>
      <c r="O158" s="42">
        <v>0.0</v>
      </c>
      <c r="P158" s="42">
        <v>0.0</v>
      </c>
      <c r="Q158" s="42">
        <v>0.6667</v>
      </c>
      <c r="R158" s="42">
        <v>0.9524</v>
      </c>
      <c r="S158" s="42">
        <v>0.9524</v>
      </c>
      <c r="T158" s="41">
        <v>1.0</v>
      </c>
      <c r="U158" s="41">
        <v>1.0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37" t="s">
        <v>242</v>
      </c>
      <c r="B159" s="37" t="s">
        <v>366</v>
      </c>
      <c r="C159" s="37">
        <v>68.0</v>
      </c>
      <c r="D159" s="63">
        <v>1.5110626094E10</v>
      </c>
      <c r="E159" s="40"/>
      <c r="F159" s="37" t="s">
        <v>388</v>
      </c>
      <c r="G159" s="40" t="str">
        <f t="shared" si="5"/>
        <v>Pending</v>
      </c>
      <c r="H159" s="40">
        <f t="shared" si="6"/>
        <v>-63</v>
      </c>
      <c r="I159" s="40">
        <f t="shared" si="7"/>
        <v>51</v>
      </c>
      <c r="J159" s="40">
        <f t="shared" si="8"/>
        <v>189</v>
      </c>
      <c r="K159" s="40"/>
      <c r="L159" s="42">
        <v>0.0</v>
      </c>
      <c r="M159" s="42">
        <v>0.0</v>
      </c>
      <c r="N159" s="42">
        <v>0.0</v>
      </c>
      <c r="O159" s="42">
        <v>0.0</v>
      </c>
      <c r="P159" s="42">
        <v>0.0</v>
      </c>
      <c r="Q159" s="42">
        <v>0.0</v>
      </c>
      <c r="R159" s="42">
        <v>0.1429</v>
      </c>
      <c r="S159" s="42">
        <v>0.8095</v>
      </c>
      <c r="T159" s="41">
        <v>0.7619</v>
      </c>
      <c r="U159" s="42">
        <v>0.0</v>
      </c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37" t="s">
        <v>242</v>
      </c>
      <c r="B160" s="37" t="s">
        <v>366</v>
      </c>
      <c r="C160" s="37">
        <v>69.0</v>
      </c>
      <c r="D160" s="37">
        <v>1.5110626095E10</v>
      </c>
      <c r="E160" s="40"/>
      <c r="F160" s="37" t="s">
        <v>389</v>
      </c>
      <c r="G160" s="40" t="str">
        <f t="shared" si="5"/>
        <v>Pending</v>
      </c>
      <c r="H160" s="40">
        <f t="shared" si="6"/>
        <v>-40</v>
      </c>
      <c r="I160" s="40">
        <f t="shared" si="7"/>
        <v>120</v>
      </c>
      <c r="J160" s="40">
        <f t="shared" si="8"/>
        <v>120</v>
      </c>
      <c r="K160" s="40"/>
      <c r="L160" s="42">
        <v>0.0</v>
      </c>
      <c r="M160" s="42">
        <v>0.0</v>
      </c>
      <c r="N160" s="42">
        <v>0.0</v>
      </c>
      <c r="O160" s="42">
        <v>0.0</v>
      </c>
      <c r="P160" s="42">
        <v>0.0</v>
      </c>
      <c r="Q160" s="42">
        <v>0.0</v>
      </c>
      <c r="R160" s="42">
        <v>1.0</v>
      </c>
      <c r="S160" s="42">
        <v>1.0</v>
      </c>
      <c r="T160" s="41">
        <v>1.0</v>
      </c>
      <c r="U160" s="41">
        <v>1.0</v>
      </c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37" t="s">
        <v>242</v>
      </c>
      <c r="B161" s="37" t="s">
        <v>366</v>
      </c>
      <c r="C161" s="37">
        <v>70.0</v>
      </c>
      <c r="D161" s="37">
        <v>1.5110626096E10</v>
      </c>
      <c r="E161" s="40"/>
      <c r="F161" s="37" t="s">
        <v>391</v>
      </c>
      <c r="G161" s="40" t="str">
        <f t="shared" si="5"/>
        <v>Pending</v>
      </c>
      <c r="H161" s="40">
        <f t="shared" si="6"/>
        <v>-57</v>
      </c>
      <c r="I161" s="40">
        <f t="shared" si="7"/>
        <v>70</v>
      </c>
      <c r="J161" s="40">
        <f t="shared" si="8"/>
        <v>170</v>
      </c>
      <c r="K161" s="40"/>
      <c r="L161" s="42">
        <v>0.0</v>
      </c>
      <c r="M161" s="42">
        <v>0.0</v>
      </c>
      <c r="N161" s="42">
        <v>0.0</v>
      </c>
      <c r="O161" s="42">
        <v>0.0</v>
      </c>
      <c r="P161" s="42">
        <v>0.0</v>
      </c>
      <c r="Q161" s="42">
        <v>0.0</v>
      </c>
      <c r="R161" s="42">
        <v>0.0952</v>
      </c>
      <c r="S161" s="42">
        <v>0.7143</v>
      </c>
      <c r="T161" s="41">
        <v>0.7619</v>
      </c>
      <c r="U161" s="41">
        <v>0.7619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37" t="s">
        <v>242</v>
      </c>
      <c r="B162" s="37" t="s">
        <v>366</v>
      </c>
      <c r="C162" s="37">
        <v>71.0</v>
      </c>
      <c r="D162" s="37">
        <v>1.5110626098E10</v>
      </c>
      <c r="E162" s="40"/>
      <c r="F162" s="37" t="s">
        <v>392</v>
      </c>
      <c r="G162" s="40" t="str">
        <f t="shared" si="5"/>
        <v>Pending</v>
      </c>
      <c r="H162" s="40">
        <f t="shared" si="6"/>
        <v>-40</v>
      </c>
      <c r="I162" s="40">
        <f t="shared" si="7"/>
        <v>120</v>
      </c>
      <c r="J162" s="40">
        <f t="shared" si="8"/>
        <v>120</v>
      </c>
      <c r="K162" s="40"/>
      <c r="L162" s="42">
        <v>0.0</v>
      </c>
      <c r="M162" s="42">
        <v>0.0</v>
      </c>
      <c r="N162" s="42">
        <v>0.0</v>
      </c>
      <c r="O162" s="42">
        <v>0.0</v>
      </c>
      <c r="P162" s="42">
        <v>0.0</v>
      </c>
      <c r="Q162" s="42">
        <v>0.0</v>
      </c>
      <c r="R162" s="42">
        <v>1.0</v>
      </c>
      <c r="S162" s="42">
        <v>1.0</v>
      </c>
      <c r="T162" s="41">
        <v>1.0</v>
      </c>
      <c r="U162" s="41">
        <v>1.0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37" t="s">
        <v>242</v>
      </c>
      <c r="B163" s="37" t="s">
        <v>366</v>
      </c>
      <c r="C163" s="37">
        <v>72.0</v>
      </c>
      <c r="D163" s="58">
        <v>1.5110626099E10</v>
      </c>
      <c r="E163" s="40"/>
      <c r="F163" s="37" t="s">
        <v>393</v>
      </c>
      <c r="G163" s="40" t="str">
        <f t="shared" si="5"/>
        <v>Pending</v>
      </c>
      <c r="H163" s="40">
        <f t="shared" si="6"/>
        <v>-64</v>
      </c>
      <c r="I163" s="40">
        <f t="shared" si="7"/>
        <v>47</v>
      </c>
      <c r="J163" s="40">
        <f t="shared" si="8"/>
        <v>193</v>
      </c>
      <c r="K163" s="40"/>
      <c r="L163" s="42">
        <v>0.0</v>
      </c>
      <c r="M163" s="42">
        <v>0.0</v>
      </c>
      <c r="N163" s="42">
        <v>0.0</v>
      </c>
      <c r="O163" s="42">
        <v>0.0</v>
      </c>
      <c r="P163" s="42">
        <v>0.0</v>
      </c>
      <c r="Q163" s="42">
        <v>0.0</v>
      </c>
      <c r="R163" s="42">
        <v>0.619</v>
      </c>
      <c r="S163" s="42">
        <v>0.9524</v>
      </c>
      <c r="T163" s="42">
        <v>0.0</v>
      </c>
      <c r="U163" s="42">
        <v>0.0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37" t="s">
        <v>242</v>
      </c>
      <c r="B164" s="37" t="s">
        <v>366</v>
      </c>
      <c r="C164" s="37">
        <v>73.0</v>
      </c>
      <c r="D164" s="37">
        <v>1.51106261E10</v>
      </c>
      <c r="E164" s="40"/>
      <c r="F164" s="37" t="s">
        <v>394</v>
      </c>
      <c r="G164" s="40" t="str">
        <f t="shared" si="5"/>
        <v>Pending</v>
      </c>
      <c r="H164" s="40">
        <f t="shared" si="6"/>
        <v>-46</v>
      </c>
      <c r="I164" s="40">
        <f t="shared" si="7"/>
        <v>103</v>
      </c>
      <c r="J164" s="40">
        <f t="shared" si="8"/>
        <v>137</v>
      </c>
      <c r="K164" s="40"/>
      <c r="L164" s="42">
        <v>0.0</v>
      </c>
      <c r="M164" s="42">
        <v>0.0</v>
      </c>
      <c r="N164" s="42">
        <v>0.0</v>
      </c>
      <c r="O164" s="42">
        <v>0.0</v>
      </c>
      <c r="P164" s="42">
        <v>0.0</v>
      </c>
      <c r="Q164" s="42">
        <v>0.0</v>
      </c>
      <c r="R164" s="42">
        <v>0.4737</v>
      </c>
      <c r="S164" s="42">
        <v>1.0</v>
      </c>
      <c r="T164" s="41">
        <v>1.0</v>
      </c>
      <c r="U164" s="41">
        <v>0.9524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70"/>
      <c r="B165" s="71"/>
      <c r="C165" s="71"/>
      <c r="D165" s="71"/>
      <c r="E165" s="71"/>
      <c r="F165" s="71">
        <f>counta(F7:F164)</f>
        <v>157</v>
      </c>
      <c r="G165" s="40" t="str">
        <f t="shared" si="5"/>
        <v>Pending</v>
      </c>
      <c r="H165" s="40">
        <f t="shared" si="6"/>
        <v>-15</v>
      </c>
      <c r="I165" s="40">
        <f t="shared" si="7"/>
        <v>195</v>
      </c>
      <c r="J165" s="40">
        <f t="shared" si="8"/>
        <v>45</v>
      </c>
      <c r="K165" s="40"/>
      <c r="L165" s="72">
        <f t="shared" ref="L165:Z165" si="9">SUM(L7:L164)/$F$165</f>
        <v>0.3836828025</v>
      </c>
      <c r="M165" s="72">
        <f t="shared" si="9"/>
        <v>0.4286292994</v>
      </c>
      <c r="N165" s="72">
        <f t="shared" si="9"/>
        <v>0.4517229299</v>
      </c>
      <c r="O165" s="72">
        <f t="shared" si="9"/>
        <v>0.473944586</v>
      </c>
      <c r="P165" s="72">
        <f t="shared" si="9"/>
        <v>0.6181197452</v>
      </c>
      <c r="Q165" s="72">
        <f t="shared" si="9"/>
        <v>0.7467898089</v>
      </c>
      <c r="R165" s="72">
        <f t="shared" si="9"/>
        <v>0.8501541401</v>
      </c>
      <c r="S165" s="72">
        <f t="shared" si="9"/>
        <v>0.8292388535</v>
      </c>
      <c r="T165" s="72">
        <f t="shared" si="9"/>
        <v>0.8768573248</v>
      </c>
      <c r="U165" s="72">
        <f t="shared" si="9"/>
        <v>0.8544152866</v>
      </c>
      <c r="V165" s="72">
        <f t="shared" si="9"/>
        <v>0</v>
      </c>
      <c r="W165" s="72">
        <f t="shared" si="9"/>
        <v>0</v>
      </c>
      <c r="X165" s="72">
        <f t="shared" si="9"/>
        <v>0</v>
      </c>
      <c r="Y165" s="72">
        <f t="shared" si="9"/>
        <v>0</v>
      </c>
      <c r="Z165" s="72">
        <f t="shared" si="9"/>
        <v>0</v>
      </c>
      <c r="AA165" s="8"/>
      <c r="AB165" s="8"/>
      <c r="AC165" s="8"/>
      <c r="AD165" s="8"/>
      <c r="AE165" s="8"/>
    </row>
    <row r="166">
      <c r="A166" s="70" t="s">
        <v>397</v>
      </c>
      <c r="B166" s="3"/>
      <c r="C166" s="3"/>
      <c r="D166" s="3"/>
      <c r="E166" s="3"/>
      <c r="F166" s="3"/>
      <c r="G166" s="5"/>
      <c r="H166" s="40"/>
      <c r="I166" s="40"/>
      <c r="J166" s="40"/>
      <c r="K166" s="40"/>
      <c r="L166" s="73"/>
      <c r="M166" s="71"/>
      <c r="N166" s="71"/>
      <c r="O166" s="71"/>
      <c r="P166" s="71"/>
      <c r="Q166" s="71"/>
      <c r="R166" s="71"/>
      <c r="S166" s="74"/>
      <c r="T166" s="46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29" t="s">
        <v>6</v>
      </c>
      <c r="B167" s="29" t="s">
        <v>7</v>
      </c>
      <c r="C167" s="29" t="s">
        <v>8</v>
      </c>
      <c r="D167" s="29" t="s">
        <v>9</v>
      </c>
      <c r="E167" s="29" t="s">
        <v>10</v>
      </c>
      <c r="F167" s="29" t="s">
        <v>11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6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37" t="s">
        <v>399</v>
      </c>
      <c r="B168" s="37" t="s">
        <v>36</v>
      </c>
      <c r="C168" s="37">
        <v>1.0</v>
      </c>
      <c r="D168" s="37">
        <v>1.5110624187E10</v>
      </c>
      <c r="E168" s="37">
        <v>2.40002008E8</v>
      </c>
      <c r="F168" s="37" t="s">
        <v>401</v>
      </c>
      <c r="G168" s="40" t="str">
        <f t="shared" ref="G168:G217" si="10">IF(H168&gt;=0,"OK",IF(K168&gt;=J168,"Completed","Pending"))</f>
        <v>OK</v>
      </c>
      <c r="H168" s="40">
        <f t="shared" ref="H168:H217" si="11">round((((((L168*100)*$L$5)+((M168*100)*$M$5)+((N168*100)*$N$5)+((O168*100)*$O$5)+((P168*100)*$P$5)+((Q168*100)*$Q$5)+((R168*100)*$R$5)+((S168*100)*$S$5)+((T168*100)*$T$5)+((U168*100)*$U$5)+((V168*100)*$V$5)+((W168*100)*$W$5)+((X168*100)*$X$5)+((Y168*100)*$Y$5)+((Z168*100)*$Z$5)++((W168*100)*$W$5)+((AA168*100)*$AA$5))/($L$5+$M$5+$N$5+$O$5+$P$5+$Q$5+$R$5+$S$5+$T$5+$V$5+$U$5+$W$5+$X$5+$Y$5+$Z$5+$AA$5))-80),0)</f>
        <v>15</v>
      </c>
      <c r="I168" s="40">
        <f t="shared" ref="I168:I217" si="12">round(30*((L168*$L$5)+(M168*$M$5)+(N168*$N$5)+(O168*$O$5)+(P168*$P$5)+(Q168*$Q$5)+(R168*$R$5)+(S168*$S$5)+(T168*$T$5)+(U168*$U$5)+(V168*$V$5)+(W168*$W$5)+(X168*$X$5)+(Y168*$Y$5)+(Z168*$Z$5)+(AA168*$AA$5)),0)</f>
        <v>286</v>
      </c>
      <c r="J168" s="40">
        <f t="shared" ref="J168:J217" si="13">if(I168&lt;(24*($L$5+$M$5+$N$5+$O$5+$P$5+$Q$5+$R$5+$S$5+$T$5+$V$5+$U$5+$W$5+$X$5+$Y$5+$Z$5+$AA$5)),abs(I168-(24*($L$5+$M$5+$N$5+$O$5+$P$5+$Q$5+$R$5+$S$5+$T$5+$V$5+$U$5+$W$5+$X$5+$Y$5+$Z$5+$AA$5))),0)</f>
        <v>0</v>
      </c>
      <c r="K168" s="40"/>
      <c r="L168" s="42">
        <v>0.8571</v>
      </c>
      <c r="M168" s="42">
        <v>0.9524</v>
      </c>
      <c r="N168" s="42">
        <v>1.0</v>
      </c>
      <c r="O168" s="42">
        <v>1.0</v>
      </c>
      <c r="P168" s="42">
        <v>1.0</v>
      </c>
      <c r="Q168" s="42">
        <v>0.8182</v>
      </c>
      <c r="R168" s="42">
        <v>1.0</v>
      </c>
      <c r="S168" s="42">
        <v>0.9545</v>
      </c>
      <c r="T168" s="41">
        <v>1.0</v>
      </c>
      <c r="U168" s="41">
        <v>0.9565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37" t="s">
        <v>399</v>
      </c>
      <c r="B169" s="37" t="s">
        <v>36</v>
      </c>
      <c r="C169" s="37">
        <v>2.0</v>
      </c>
      <c r="D169" s="37">
        <v>1.5110624093E10</v>
      </c>
      <c r="E169" s="37">
        <v>2.40002012E8</v>
      </c>
      <c r="F169" s="37" t="s">
        <v>408</v>
      </c>
      <c r="G169" s="40" t="str">
        <f t="shared" si="10"/>
        <v>OK</v>
      </c>
      <c r="H169" s="40">
        <f t="shared" si="11"/>
        <v>9</v>
      </c>
      <c r="I169" s="40">
        <f t="shared" si="12"/>
        <v>267</v>
      </c>
      <c r="J169" s="40">
        <f t="shared" si="13"/>
        <v>0</v>
      </c>
      <c r="K169" s="40"/>
      <c r="L169" s="42">
        <v>0.7619</v>
      </c>
      <c r="M169" s="42">
        <v>0.9524</v>
      </c>
      <c r="N169" s="42">
        <v>0.9091</v>
      </c>
      <c r="O169" s="42">
        <v>1.0</v>
      </c>
      <c r="P169" s="42">
        <v>0.9091</v>
      </c>
      <c r="Q169" s="42">
        <v>0.9545</v>
      </c>
      <c r="R169" s="42">
        <v>0.8182</v>
      </c>
      <c r="S169" s="42">
        <v>1.0</v>
      </c>
      <c r="T169" s="41">
        <v>0.6818</v>
      </c>
      <c r="U169" s="41">
        <v>0.913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37" t="s">
        <v>399</v>
      </c>
      <c r="B170" s="37" t="s">
        <v>36</v>
      </c>
      <c r="C170" s="37">
        <v>3.0</v>
      </c>
      <c r="D170" s="37">
        <v>1.5110624134E10</v>
      </c>
      <c r="E170" s="37">
        <v>2.40002014E8</v>
      </c>
      <c r="F170" s="37" t="s">
        <v>411</v>
      </c>
      <c r="G170" s="40" t="str">
        <f t="shared" si="10"/>
        <v>OK</v>
      </c>
      <c r="H170" s="40">
        <f t="shared" si="11"/>
        <v>4</v>
      </c>
      <c r="I170" s="40">
        <f t="shared" si="12"/>
        <v>252</v>
      </c>
      <c r="J170" s="40">
        <f t="shared" si="13"/>
        <v>0</v>
      </c>
      <c r="K170" s="40"/>
      <c r="L170" s="42">
        <v>1.0</v>
      </c>
      <c r="M170" s="42">
        <v>0.5238</v>
      </c>
      <c r="N170" s="42">
        <v>0.8636</v>
      </c>
      <c r="O170" s="42">
        <v>0.9091</v>
      </c>
      <c r="P170" s="42">
        <v>0.9091</v>
      </c>
      <c r="Q170" s="42">
        <v>0.9545</v>
      </c>
      <c r="R170" s="42">
        <v>0.8636</v>
      </c>
      <c r="S170" s="42">
        <v>0.8636</v>
      </c>
      <c r="T170" s="41">
        <v>0.6364</v>
      </c>
      <c r="U170" s="41">
        <v>0.8696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37" t="s">
        <v>399</v>
      </c>
      <c r="B171" s="37" t="s">
        <v>36</v>
      </c>
      <c r="C171" s="37">
        <v>4.0</v>
      </c>
      <c r="D171" s="37">
        <v>1.5110624044E10</v>
      </c>
      <c r="E171" s="37">
        <v>2.40002036E8</v>
      </c>
      <c r="F171" s="37" t="s">
        <v>413</v>
      </c>
      <c r="G171" s="40" t="str">
        <f t="shared" si="10"/>
        <v>Pending</v>
      </c>
      <c r="H171" s="40">
        <f t="shared" si="11"/>
        <v>-39</v>
      </c>
      <c r="I171" s="40">
        <f t="shared" si="12"/>
        <v>122</v>
      </c>
      <c r="J171" s="40">
        <f t="shared" si="13"/>
        <v>118</v>
      </c>
      <c r="K171" s="40"/>
      <c r="L171" s="42">
        <v>0.0</v>
      </c>
      <c r="M171" s="42">
        <v>0.0952</v>
      </c>
      <c r="N171" s="42">
        <v>0.0</v>
      </c>
      <c r="O171" s="42">
        <v>1.0</v>
      </c>
      <c r="P171" s="42">
        <v>0.5909</v>
      </c>
      <c r="Q171" s="42">
        <v>0.4545</v>
      </c>
      <c r="R171" s="42">
        <v>0.6818</v>
      </c>
      <c r="S171" s="42">
        <v>0.3636</v>
      </c>
      <c r="T171" s="41">
        <v>0.4091</v>
      </c>
      <c r="U171" s="41">
        <v>0.4783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37" t="s">
        <v>399</v>
      </c>
      <c r="B172" s="37" t="s">
        <v>36</v>
      </c>
      <c r="C172" s="37">
        <v>5.0</v>
      </c>
      <c r="D172" s="37">
        <v>1.5110624017E10</v>
      </c>
      <c r="E172" s="37">
        <v>2.40002049E8</v>
      </c>
      <c r="F172" s="37" t="s">
        <v>415</v>
      </c>
      <c r="G172" s="40" t="str">
        <f t="shared" si="10"/>
        <v>OK</v>
      </c>
      <c r="H172" s="40">
        <f t="shared" si="11"/>
        <v>13</v>
      </c>
      <c r="I172" s="40">
        <f t="shared" si="12"/>
        <v>279</v>
      </c>
      <c r="J172" s="40">
        <f t="shared" si="13"/>
        <v>0</v>
      </c>
      <c r="K172" s="40"/>
      <c r="L172" s="42">
        <v>0.7619</v>
      </c>
      <c r="M172" s="42">
        <v>1.0</v>
      </c>
      <c r="N172" s="42">
        <v>0.9091</v>
      </c>
      <c r="O172" s="42">
        <v>1.0</v>
      </c>
      <c r="P172" s="42">
        <v>1.0</v>
      </c>
      <c r="Q172" s="42">
        <v>0.7727</v>
      </c>
      <c r="R172" s="42">
        <v>0.9545</v>
      </c>
      <c r="S172" s="42">
        <v>1.0</v>
      </c>
      <c r="T172" s="41">
        <v>0.9545</v>
      </c>
      <c r="U172" s="41">
        <v>0.9565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37" t="s">
        <v>399</v>
      </c>
      <c r="B173" s="37" t="s">
        <v>36</v>
      </c>
      <c r="C173" s="37">
        <v>6.0</v>
      </c>
      <c r="D173" s="37">
        <v>1.5110624126E10</v>
      </c>
      <c r="E173" s="37">
        <v>2.40002056E8</v>
      </c>
      <c r="F173" s="37" t="s">
        <v>417</v>
      </c>
      <c r="G173" s="40" t="str">
        <f t="shared" si="10"/>
        <v>OK</v>
      </c>
      <c r="H173" s="40">
        <f t="shared" si="11"/>
        <v>9</v>
      </c>
      <c r="I173" s="40">
        <f t="shared" si="12"/>
        <v>268</v>
      </c>
      <c r="J173" s="40">
        <f t="shared" si="13"/>
        <v>0</v>
      </c>
      <c r="K173" s="40"/>
      <c r="L173" s="42">
        <v>0.7619</v>
      </c>
      <c r="M173" s="42">
        <v>1.0</v>
      </c>
      <c r="N173" s="42">
        <v>1.0</v>
      </c>
      <c r="O173" s="42">
        <v>1.0</v>
      </c>
      <c r="P173" s="42">
        <v>1.0</v>
      </c>
      <c r="Q173" s="42">
        <v>1.0</v>
      </c>
      <c r="R173" s="42">
        <v>1.0</v>
      </c>
      <c r="S173" s="42">
        <v>0.2273</v>
      </c>
      <c r="T173" s="41">
        <v>1.0</v>
      </c>
      <c r="U173" s="41">
        <v>0.9565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37" t="s">
        <v>399</v>
      </c>
      <c r="B174" s="37" t="s">
        <v>36</v>
      </c>
      <c r="C174" s="37">
        <v>7.0</v>
      </c>
      <c r="D174" s="37">
        <v>1.5110624141E10</v>
      </c>
      <c r="E174" s="37">
        <v>2.40002057E8</v>
      </c>
      <c r="F174" s="37" t="s">
        <v>419</v>
      </c>
      <c r="G174" s="40" t="str">
        <f t="shared" si="10"/>
        <v>Pending</v>
      </c>
      <c r="H174" s="40">
        <f t="shared" si="11"/>
        <v>-39</v>
      </c>
      <c r="I174" s="40">
        <f t="shared" si="12"/>
        <v>122</v>
      </c>
      <c r="J174" s="40">
        <f t="shared" si="13"/>
        <v>118</v>
      </c>
      <c r="K174" s="40"/>
      <c r="L174" s="42">
        <v>0.381</v>
      </c>
      <c r="M174" s="42">
        <v>0.0</v>
      </c>
      <c r="N174" s="42">
        <v>1.0</v>
      </c>
      <c r="O174" s="42">
        <v>0.9091</v>
      </c>
      <c r="P174" s="42">
        <v>0.6364</v>
      </c>
      <c r="Q174" s="42">
        <v>0.5</v>
      </c>
      <c r="R174" s="42">
        <v>0.6364</v>
      </c>
      <c r="S174" s="42">
        <v>0.0</v>
      </c>
      <c r="T174" s="41">
        <v>0.0</v>
      </c>
      <c r="U174" s="41">
        <v>0.0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37" t="s">
        <v>399</v>
      </c>
      <c r="B175" s="37" t="s">
        <v>36</v>
      </c>
      <c r="C175" s="37">
        <v>8.0</v>
      </c>
      <c r="D175" s="37">
        <v>1.5110624046E10</v>
      </c>
      <c r="E175" s="37">
        <v>2.40002058E8</v>
      </c>
      <c r="F175" s="37" t="s">
        <v>421</v>
      </c>
      <c r="G175" s="40" t="str">
        <f t="shared" si="10"/>
        <v>Pending</v>
      </c>
      <c r="H175" s="40">
        <f t="shared" si="11"/>
        <v>-10</v>
      </c>
      <c r="I175" s="40">
        <f t="shared" si="12"/>
        <v>210</v>
      </c>
      <c r="J175" s="40">
        <f t="shared" si="13"/>
        <v>30</v>
      </c>
      <c r="K175" s="40"/>
      <c r="L175" s="42">
        <v>0.5714</v>
      </c>
      <c r="M175" s="42">
        <v>0.2857</v>
      </c>
      <c r="N175" s="42">
        <v>0.2273</v>
      </c>
      <c r="O175" s="42">
        <v>0.7727</v>
      </c>
      <c r="P175" s="42">
        <v>0.8182</v>
      </c>
      <c r="Q175" s="42">
        <v>0.9545</v>
      </c>
      <c r="R175" s="42">
        <v>0.8636</v>
      </c>
      <c r="S175" s="42">
        <v>0.6364</v>
      </c>
      <c r="T175" s="41">
        <v>0.9545</v>
      </c>
      <c r="U175" s="41">
        <v>0.913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37" t="s">
        <v>399</v>
      </c>
      <c r="B176" s="37" t="s">
        <v>36</v>
      </c>
      <c r="C176" s="37">
        <v>9.0</v>
      </c>
      <c r="D176" s="37">
        <v>1.5110624045E10</v>
      </c>
      <c r="E176" s="37">
        <v>2.40002059E8</v>
      </c>
      <c r="F176" s="37" t="s">
        <v>424</v>
      </c>
      <c r="G176" s="40" t="str">
        <f t="shared" si="10"/>
        <v>Pending</v>
      </c>
      <c r="H176" s="40">
        <f t="shared" si="11"/>
        <v>-13</v>
      </c>
      <c r="I176" s="40">
        <f t="shared" si="12"/>
        <v>200</v>
      </c>
      <c r="J176" s="40">
        <f t="shared" si="13"/>
        <v>40</v>
      </c>
      <c r="K176" s="40"/>
      <c r="L176" s="42">
        <v>0.4762</v>
      </c>
      <c r="M176" s="42">
        <v>0.0476</v>
      </c>
      <c r="N176" s="42">
        <v>0.2273</v>
      </c>
      <c r="O176" s="42">
        <v>0.7727</v>
      </c>
      <c r="P176" s="42">
        <v>0.8182</v>
      </c>
      <c r="Q176" s="42">
        <v>0.9545</v>
      </c>
      <c r="R176" s="42">
        <v>0.8636</v>
      </c>
      <c r="S176" s="42">
        <v>0.6364</v>
      </c>
      <c r="T176" s="41">
        <v>0.9545</v>
      </c>
      <c r="U176" s="41">
        <v>0.913</v>
      </c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37" t="s">
        <v>399</v>
      </c>
      <c r="B177" s="37" t="s">
        <v>36</v>
      </c>
      <c r="C177" s="37">
        <v>11.0</v>
      </c>
      <c r="D177" s="37">
        <v>1.5110624105E10</v>
      </c>
      <c r="E177" s="37">
        <v>2.40002067E8</v>
      </c>
      <c r="F177" s="37" t="s">
        <v>426</v>
      </c>
      <c r="G177" s="40" t="str">
        <f t="shared" si="10"/>
        <v>OK</v>
      </c>
      <c r="H177" s="40">
        <f t="shared" si="11"/>
        <v>11</v>
      </c>
      <c r="I177" s="40">
        <f t="shared" si="12"/>
        <v>272</v>
      </c>
      <c r="J177" s="40">
        <f t="shared" si="13"/>
        <v>0</v>
      </c>
      <c r="K177" s="40"/>
      <c r="L177" s="42">
        <v>0.2857</v>
      </c>
      <c r="M177" s="42">
        <v>0.9048</v>
      </c>
      <c r="N177" s="42">
        <v>1.0</v>
      </c>
      <c r="O177" s="42">
        <v>0.9091</v>
      </c>
      <c r="P177" s="42">
        <v>1.0</v>
      </c>
      <c r="Q177" s="42">
        <v>1.0</v>
      </c>
      <c r="R177" s="42">
        <v>1.0</v>
      </c>
      <c r="S177" s="42">
        <v>1.0</v>
      </c>
      <c r="T177" s="41">
        <v>1.0</v>
      </c>
      <c r="U177" s="41">
        <v>0.9565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37" t="s">
        <v>399</v>
      </c>
      <c r="B178" s="37" t="s">
        <v>36</v>
      </c>
      <c r="C178" s="37">
        <v>12.0</v>
      </c>
      <c r="D178" s="37">
        <v>1.5110624041E10</v>
      </c>
      <c r="E178" s="37">
        <v>2.40002068E8</v>
      </c>
      <c r="F178" s="37" t="s">
        <v>428</v>
      </c>
      <c r="G178" s="40" t="str">
        <f t="shared" si="10"/>
        <v>OK</v>
      </c>
      <c r="H178" s="40">
        <f t="shared" si="11"/>
        <v>14</v>
      </c>
      <c r="I178" s="40">
        <f t="shared" si="12"/>
        <v>282</v>
      </c>
      <c r="J178" s="40">
        <f t="shared" si="13"/>
        <v>0</v>
      </c>
      <c r="K178" s="40"/>
      <c r="L178" s="42">
        <v>0.7619</v>
      </c>
      <c r="M178" s="42">
        <v>1.0</v>
      </c>
      <c r="N178" s="42">
        <v>0.9091</v>
      </c>
      <c r="O178" s="42">
        <v>1.0</v>
      </c>
      <c r="P178" s="42">
        <v>1.0</v>
      </c>
      <c r="Q178" s="42">
        <v>0.9091</v>
      </c>
      <c r="R178" s="42">
        <v>1.0</v>
      </c>
      <c r="S178" s="42">
        <v>1.0</v>
      </c>
      <c r="T178" s="41">
        <v>0.8636</v>
      </c>
      <c r="U178" s="41">
        <v>0.9565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37" t="s">
        <v>399</v>
      </c>
      <c r="B179" s="37" t="s">
        <v>36</v>
      </c>
      <c r="C179" s="37">
        <v>13.0</v>
      </c>
      <c r="D179" s="37">
        <v>1.5110624076E10</v>
      </c>
      <c r="E179" s="37">
        <v>2.40002071E8</v>
      </c>
      <c r="F179" s="37" t="s">
        <v>430</v>
      </c>
      <c r="G179" s="40" t="str">
        <f t="shared" si="10"/>
        <v>OK</v>
      </c>
      <c r="H179" s="40">
        <f t="shared" si="11"/>
        <v>14</v>
      </c>
      <c r="I179" s="40">
        <f t="shared" si="12"/>
        <v>282</v>
      </c>
      <c r="J179" s="40">
        <f t="shared" si="13"/>
        <v>0</v>
      </c>
      <c r="K179" s="40"/>
      <c r="L179" s="42">
        <v>0.6667</v>
      </c>
      <c r="M179" s="42">
        <v>1.0</v>
      </c>
      <c r="N179" s="42">
        <v>0.9091</v>
      </c>
      <c r="O179" s="42">
        <v>0.9545</v>
      </c>
      <c r="P179" s="42">
        <v>1.0</v>
      </c>
      <c r="Q179" s="42">
        <v>1.0</v>
      </c>
      <c r="R179" s="42">
        <v>1.0</v>
      </c>
      <c r="S179" s="42">
        <v>1.0</v>
      </c>
      <c r="T179" s="41">
        <v>1.0</v>
      </c>
      <c r="U179" s="41">
        <v>0.8696</v>
      </c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37" t="s">
        <v>399</v>
      </c>
      <c r="B180" s="37" t="s">
        <v>36</v>
      </c>
      <c r="C180" s="37">
        <v>14.0</v>
      </c>
      <c r="D180" s="37">
        <v>1.5110624055E10</v>
      </c>
      <c r="E180" s="37">
        <v>2.40002081E8</v>
      </c>
      <c r="F180" s="37" t="s">
        <v>432</v>
      </c>
      <c r="G180" s="40" t="str">
        <f t="shared" si="10"/>
        <v>OK</v>
      </c>
      <c r="H180" s="40">
        <f t="shared" si="11"/>
        <v>3</v>
      </c>
      <c r="I180" s="40">
        <f t="shared" si="12"/>
        <v>249</v>
      </c>
      <c r="J180" s="40">
        <f t="shared" si="13"/>
        <v>0</v>
      </c>
      <c r="K180" s="40"/>
      <c r="L180" s="42">
        <v>0.0</v>
      </c>
      <c r="M180" s="42">
        <v>0.7619</v>
      </c>
      <c r="N180" s="42">
        <v>0.9545</v>
      </c>
      <c r="O180" s="42">
        <v>1.0</v>
      </c>
      <c r="P180" s="42">
        <v>1.0</v>
      </c>
      <c r="Q180" s="42">
        <v>1.0</v>
      </c>
      <c r="R180" s="42">
        <v>0.9545</v>
      </c>
      <c r="S180" s="42">
        <v>0.9545</v>
      </c>
      <c r="T180" s="41">
        <v>0.7273</v>
      </c>
      <c r="U180" s="41">
        <v>0.9565</v>
      </c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37" t="s">
        <v>399</v>
      </c>
      <c r="B181" s="37" t="s">
        <v>36</v>
      </c>
      <c r="C181" s="37">
        <v>15.0</v>
      </c>
      <c r="D181" s="37">
        <v>1.5110624029E10</v>
      </c>
      <c r="E181" s="37">
        <v>2.40002082E8</v>
      </c>
      <c r="F181" s="37" t="s">
        <v>434</v>
      </c>
      <c r="G181" s="40" t="str">
        <f t="shared" si="10"/>
        <v>OK</v>
      </c>
      <c r="H181" s="40">
        <f t="shared" si="11"/>
        <v>4</v>
      </c>
      <c r="I181" s="40">
        <f t="shared" si="12"/>
        <v>253</v>
      </c>
      <c r="J181" s="40">
        <f t="shared" si="13"/>
        <v>0</v>
      </c>
      <c r="K181" s="40"/>
      <c r="L181" s="42">
        <v>0.2857</v>
      </c>
      <c r="M181" s="42">
        <v>0.9048</v>
      </c>
      <c r="N181" s="42">
        <v>0.9091</v>
      </c>
      <c r="O181" s="42">
        <v>0.8182</v>
      </c>
      <c r="P181" s="42">
        <v>1.0</v>
      </c>
      <c r="Q181" s="42">
        <v>0.9091</v>
      </c>
      <c r="R181" s="42">
        <v>0.8636</v>
      </c>
      <c r="S181" s="42">
        <v>1.0</v>
      </c>
      <c r="T181" s="41">
        <v>0.7727</v>
      </c>
      <c r="U181" s="41">
        <v>0.9565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37" t="s">
        <v>399</v>
      </c>
      <c r="B182" s="37" t="s">
        <v>36</v>
      </c>
      <c r="C182" s="37">
        <v>16.0</v>
      </c>
      <c r="D182" s="37">
        <v>1.5110624063E10</v>
      </c>
      <c r="E182" s="37">
        <v>2.40002092E8</v>
      </c>
      <c r="F182" s="37" t="s">
        <v>436</v>
      </c>
      <c r="G182" s="40" t="str">
        <f t="shared" si="10"/>
        <v>OK</v>
      </c>
      <c r="H182" s="40">
        <f t="shared" si="11"/>
        <v>0</v>
      </c>
      <c r="I182" s="40">
        <f t="shared" si="12"/>
        <v>239</v>
      </c>
      <c r="J182" s="40">
        <f t="shared" si="13"/>
        <v>1</v>
      </c>
      <c r="K182" s="40"/>
      <c r="L182" s="42">
        <v>0.0</v>
      </c>
      <c r="M182" s="42">
        <v>0.7143</v>
      </c>
      <c r="N182" s="42">
        <v>1.0</v>
      </c>
      <c r="O182" s="42">
        <v>0.9091</v>
      </c>
      <c r="P182" s="42">
        <v>1.0</v>
      </c>
      <c r="Q182" s="42">
        <v>0.8182</v>
      </c>
      <c r="R182" s="42">
        <v>0.9091</v>
      </c>
      <c r="S182" s="42">
        <v>0.9091</v>
      </c>
      <c r="T182" s="41">
        <v>1.0</v>
      </c>
      <c r="U182" s="41">
        <v>0.6957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37" t="s">
        <v>399</v>
      </c>
      <c r="B183" s="37" t="s">
        <v>36</v>
      </c>
      <c r="C183" s="37">
        <v>17.0</v>
      </c>
      <c r="D183" s="37">
        <v>1.5110624167E10</v>
      </c>
      <c r="E183" s="37">
        <v>2.40002097E8</v>
      </c>
      <c r="F183" s="37" t="s">
        <v>439</v>
      </c>
      <c r="G183" s="40" t="str">
        <f t="shared" si="10"/>
        <v>OK</v>
      </c>
      <c r="H183" s="40">
        <f t="shared" si="11"/>
        <v>18</v>
      </c>
      <c r="I183" s="40">
        <f t="shared" si="12"/>
        <v>294</v>
      </c>
      <c r="J183" s="40">
        <f t="shared" si="13"/>
        <v>0</v>
      </c>
      <c r="K183" s="40"/>
      <c r="L183" s="42">
        <v>0.8571</v>
      </c>
      <c r="M183" s="42">
        <v>1.0</v>
      </c>
      <c r="N183" s="42">
        <v>1.0</v>
      </c>
      <c r="O183" s="42">
        <v>1.0</v>
      </c>
      <c r="P183" s="42">
        <v>1.0</v>
      </c>
      <c r="Q183" s="42">
        <v>1.0</v>
      </c>
      <c r="R183" s="42">
        <v>1.0</v>
      </c>
      <c r="S183" s="42">
        <v>1.0</v>
      </c>
      <c r="T183" s="41">
        <v>1.0</v>
      </c>
      <c r="U183" s="41">
        <v>0.9565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37" t="s">
        <v>399</v>
      </c>
      <c r="B184" s="37" t="s">
        <v>36</v>
      </c>
      <c r="C184" s="37">
        <v>18.0</v>
      </c>
      <c r="D184" s="37">
        <v>1.5110624089E10</v>
      </c>
      <c r="E184" s="37">
        <v>2.40002101E8</v>
      </c>
      <c r="F184" s="37" t="s">
        <v>441</v>
      </c>
      <c r="G184" s="40" t="str">
        <f t="shared" si="10"/>
        <v>OK</v>
      </c>
      <c r="H184" s="40">
        <f t="shared" si="11"/>
        <v>11</v>
      </c>
      <c r="I184" s="40">
        <f t="shared" si="12"/>
        <v>274</v>
      </c>
      <c r="J184" s="40">
        <f t="shared" si="13"/>
        <v>0</v>
      </c>
      <c r="K184" s="40"/>
      <c r="L184" s="42">
        <v>0.7619</v>
      </c>
      <c r="M184" s="42">
        <v>1.0</v>
      </c>
      <c r="N184" s="42">
        <v>0.8182</v>
      </c>
      <c r="O184" s="42">
        <v>1.0</v>
      </c>
      <c r="P184" s="42">
        <v>0.9545</v>
      </c>
      <c r="Q184" s="42">
        <v>1.0</v>
      </c>
      <c r="R184" s="42">
        <v>0.9091</v>
      </c>
      <c r="S184" s="42">
        <v>0.9091</v>
      </c>
      <c r="T184" s="41">
        <v>0.8636</v>
      </c>
      <c r="U184" s="41">
        <v>0.913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37" t="s">
        <v>399</v>
      </c>
      <c r="B185" s="37" t="s">
        <v>36</v>
      </c>
      <c r="C185" s="37">
        <v>19.0</v>
      </c>
      <c r="D185" s="37">
        <v>1.5110624098E10</v>
      </c>
      <c r="E185" s="37">
        <v>2.40002103E8</v>
      </c>
      <c r="F185" s="37" t="s">
        <v>443</v>
      </c>
      <c r="G185" s="40" t="str">
        <f t="shared" si="10"/>
        <v>OK</v>
      </c>
      <c r="H185" s="40">
        <f t="shared" si="11"/>
        <v>6</v>
      </c>
      <c r="I185" s="40">
        <f t="shared" si="12"/>
        <v>258</v>
      </c>
      <c r="J185" s="40">
        <f t="shared" si="13"/>
        <v>0</v>
      </c>
      <c r="K185" s="40"/>
      <c r="L185" s="42">
        <v>0.0</v>
      </c>
      <c r="M185" s="42">
        <v>1.0</v>
      </c>
      <c r="N185" s="42">
        <v>1.0</v>
      </c>
      <c r="O185" s="42">
        <v>1.0</v>
      </c>
      <c r="P185" s="42">
        <v>1.0</v>
      </c>
      <c r="Q185" s="42">
        <v>1.0</v>
      </c>
      <c r="R185" s="42">
        <v>0.8636</v>
      </c>
      <c r="S185" s="42">
        <v>0.9545</v>
      </c>
      <c r="T185" s="41">
        <v>0.9091</v>
      </c>
      <c r="U185" s="41">
        <v>0.8696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37" t="s">
        <v>399</v>
      </c>
      <c r="B186" s="37" t="s">
        <v>36</v>
      </c>
      <c r="C186" s="37">
        <v>20.0</v>
      </c>
      <c r="D186" s="37">
        <v>1.5110624189E10</v>
      </c>
      <c r="E186" s="37">
        <v>2.40002107E8</v>
      </c>
      <c r="F186" s="37" t="s">
        <v>445</v>
      </c>
      <c r="G186" s="40" t="str">
        <f t="shared" si="10"/>
        <v>OK</v>
      </c>
      <c r="H186" s="40">
        <f t="shared" si="11"/>
        <v>6</v>
      </c>
      <c r="I186" s="40">
        <f t="shared" si="12"/>
        <v>259</v>
      </c>
      <c r="J186" s="40">
        <f t="shared" si="13"/>
        <v>0</v>
      </c>
      <c r="K186" s="40"/>
      <c r="L186" s="42">
        <v>0.8095</v>
      </c>
      <c r="M186" s="42">
        <v>0.9524</v>
      </c>
      <c r="N186" s="42">
        <v>0.8182</v>
      </c>
      <c r="O186" s="42">
        <v>0.8182</v>
      </c>
      <c r="P186" s="42">
        <v>0.8182</v>
      </c>
      <c r="Q186" s="42">
        <v>0.9091</v>
      </c>
      <c r="R186" s="42">
        <v>0.8636</v>
      </c>
      <c r="S186" s="42">
        <v>0.7727</v>
      </c>
      <c r="T186" s="41">
        <v>0.9545</v>
      </c>
      <c r="U186" s="41">
        <v>0.913</v>
      </c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37" t="s">
        <v>399</v>
      </c>
      <c r="B187" s="37" t="s">
        <v>36</v>
      </c>
      <c r="C187" s="37">
        <v>21.0</v>
      </c>
      <c r="D187" s="37">
        <v>1.5110625105E10</v>
      </c>
      <c r="E187" s="37">
        <v>2.51002002E8</v>
      </c>
      <c r="F187" s="37" t="s">
        <v>447</v>
      </c>
      <c r="G187" s="40" t="str">
        <f t="shared" si="10"/>
        <v>Pending</v>
      </c>
      <c r="H187" s="40">
        <f t="shared" si="11"/>
        <v>-16</v>
      </c>
      <c r="I187" s="40">
        <f t="shared" si="12"/>
        <v>191</v>
      </c>
      <c r="J187" s="40">
        <f t="shared" si="13"/>
        <v>49</v>
      </c>
      <c r="K187" s="40"/>
      <c r="L187" s="42">
        <v>0.4286</v>
      </c>
      <c r="M187" s="42">
        <v>0.8095</v>
      </c>
      <c r="N187" s="42">
        <v>0.8182</v>
      </c>
      <c r="O187" s="42">
        <v>0.7727</v>
      </c>
      <c r="P187" s="42">
        <v>0.7273</v>
      </c>
      <c r="Q187" s="42">
        <v>0.5455</v>
      </c>
      <c r="R187" s="42">
        <v>0.5909</v>
      </c>
      <c r="S187" s="42">
        <v>0.4545</v>
      </c>
      <c r="T187" s="41">
        <v>0.6818</v>
      </c>
      <c r="U187" s="41">
        <v>0.5217</v>
      </c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37" t="s">
        <v>399</v>
      </c>
      <c r="B188" s="37" t="s">
        <v>36</v>
      </c>
      <c r="C188" s="37">
        <v>22.0</v>
      </c>
      <c r="D188" s="37">
        <v>1.511062504E10</v>
      </c>
      <c r="E188" s="37">
        <v>2.51002003E8</v>
      </c>
      <c r="F188" s="37" t="s">
        <v>449</v>
      </c>
      <c r="G188" s="40" t="str">
        <f t="shared" si="10"/>
        <v>OK</v>
      </c>
      <c r="H188" s="40">
        <f t="shared" si="11"/>
        <v>9</v>
      </c>
      <c r="I188" s="40">
        <f t="shared" si="12"/>
        <v>268</v>
      </c>
      <c r="J188" s="40">
        <f t="shared" si="13"/>
        <v>0</v>
      </c>
      <c r="K188" s="40"/>
      <c r="L188" s="42">
        <v>0.7143</v>
      </c>
      <c r="M188" s="42">
        <v>0.9048</v>
      </c>
      <c r="N188" s="42">
        <v>0.9091</v>
      </c>
      <c r="O188" s="42">
        <v>0.8636</v>
      </c>
      <c r="P188" s="42">
        <v>0.9545</v>
      </c>
      <c r="Q188" s="42">
        <v>0.8182</v>
      </c>
      <c r="R188" s="42">
        <v>0.9545</v>
      </c>
      <c r="S188" s="42">
        <v>0.9091</v>
      </c>
      <c r="T188" s="41">
        <v>0.9545</v>
      </c>
      <c r="U188" s="41">
        <v>0.9565</v>
      </c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37" t="s">
        <v>399</v>
      </c>
      <c r="B189" s="37" t="s">
        <v>36</v>
      </c>
      <c r="C189" s="37">
        <v>23.0</v>
      </c>
      <c r="D189" s="37">
        <v>1.5110625139E10</v>
      </c>
      <c r="E189" s="37">
        <v>2.51002005E8</v>
      </c>
      <c r="F189" s="37" t="s">
        <v>451</v>
      </c>
      <c r="G189" s="40" t="str">
        <f t="shared" si="10"/>
        <v>OK</v>
      </c>
      <c r="H189" s="40">
        <f t="shared" si="11"/>
        <v>10</v>
      </c>
      <c r="I189" s="40">
        <f t="shared" si="12"/>
        <v>269</v>
      </c>
      <c r="J189" s="40">
        <f t="shared" si="13"/>
        <v>0</v>
      </c>
      <c r="K189" s="40"/>
      <c r="L189" s="42">
        <v>0.5238</v>
      </c>
      <c r="M189" s="42">
        <v>1.0</v>
      </c>
      <c r="N189" s="42">
        <v>1.0</v>
      </c>
      <c r="O189" s="42">
        <v>0.9091</v>
      </c>
      <c r="P189" s="42">
        <v>1.0</v>
      </c>
      <c r="Q189" s="42">
        <v>0.9091</v>
      </c>
      <c r="R189" s="42">
        <v>0.9091</v>
      </c>
      <c r="S189" s="42">
        <v>0.9545</v>
      </c>
      <c r="T189" s="41">
        <v>0.8182</v>
      </c>
      <c r="U189" s="41">
        <v>0.9565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37" t="s">
        <v>399</v>
      </c>
      <c r="B190" s="37" t="s">
        <v>36</v>
      </c>
      <c r="C190" s="37">
        <v>24.0</v>
      </c>
      <c r="D190" s="37">
        <v>1.511062515E10</v>
      </c>
      <c r="E190" s="37">
        <v>2.51002006E8</v>
      </c>
      <c r="F190" s="37" t="s">
        <v>453</v>
      </c>
      <c r="G190" s="40" t="str">
        <f t="shared" si="10"/>
        <v>OK</v>
      </c>
      <c r="H190" s="40">
        <f t="shared" si="11"/>
        <v>4</v>
      </c>
      <c r="I190" s="40">
        <f t="shared" si="12"/>
        <v>252</v>
      </c>
      <c r="J190" s="40">
        <f t="shared" si="13"/>
        <v>0</v>
      </c>
      <c r="K190" s="40"/>
      <c r="L190" s="42">
        <v>0.8095</v>
      </c>
      <c r="M190" s="42">
        <v>0.9048</v>
      </c>
      <c r="N190" s="42">
        <v>0.7727</v>
      </c>
      <c r="O190" s="42">
        <v>0.8636</v>
      </c>
      <c r="P190" s="42">
        <v>0.9091</v>
      </c>
      <c r="Q190" s="42">
        <v>0.8182</v>
      </c>
      <c r="R190" s="42">
        <v>0.6818</v>
      </c>
      <c r="S190" s="42">
        <v>0.8182</v>
      </c>
      <c r="T190" s="41">
        <v>0.8636</v>
      </c>
      <c r="U190" s="41">
        <v>0.9565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37" t="s">
        <v>399</v>
      </c>
      <c r="B191" s="37" t="s">
        <v>36</v>
      </c>
      <c r="C191" s="37">
        <v>25.0</v>
      </c>
      <c r="D191" s="37">
        <v>1.5110625035E10</v>
      </c>
      <c r="E191" s="37">
        <v>2.51002007E8</v>
      </c>
      <c r="F191" s="37" t="s">
        <v>456</v>
      </c>
      <c r="G191" s="40" t="str">
        <f t="shared" si="10"/>
        <v>OK</v>
      </c>
      <c r="H191" s="40">
        <f t="shared" si="11"/>
        <v>18</v>
      </c>
      <c r="I191" s="40">
        <f t="shared" si="12"/>
        <v>295</v>
      </c>
      <c r="J191" s="40">
        <f t="shared" si="13"/>
        <v>0</v>
      </c>
      <c r="K191" s="40"/>
      <c r="L191" s="42">
        <v>1.0</v>
      </c>
      <c r="M191" s="42">
        <v>1.0</v>
      </c>
      <c r="N191" s="42">
        <v>1.0</v>
      </c>
      <c r="O191" s="42">
        <v>1.0</v>
      </c>
      <c r="P191" s="42">
        <v>1.0</v>
      </c>
      <c r="Q191" s="42">
        <v>1.0</v>
      </c>
      <c r="R191" s="42">
        <v>1.0</v>
      </c>
      <c r="S191" s="42">
        <v>1.0</v>
      </c>
      <c r="T191" s="41">
        <v>0.8636</v>
      </c>
      <c r="U191" s="41">
        <v>0.9565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37" t="s">
        <v>399</v>
      </c>
      <c r="B192" s="37" t="s">
        <v>36</v>
      </c>
      <c r="C192" s="37">
        <v>26.0</v>
      </c>
      <c r="D192" s="37">
        <v>1.5110625142E10</v>
      </c>
      <c r="E192" s="37">
        <v>2.51002008E8</v>
      </c>
      <c r="F192" s="37" t="s">
        <v>458</v>
      </c>
      <c r="G192" s="40" t="str">
        <f t="shared" si="10"/>
        <v>OK</v>
      </c>
      <c r="H192" s="40">
        <f t="shared" si="11"/>
        <v>3</v>
      </c>
      <c r="I192" s="40">
        <f t="shared" si="12"/>
        <v>249</v>
      </c>
      <c r="J192" s="40">
        <f t="shared" si="13"/>
        <v>0</v>
      </c>
      <c r="K192" s="40"/>
      <c r="L192" s="42">
        <v>0.8095</v>
      </c>
      <c r="M192" s="42">
        <v>0.9048</v>
      </c>
      <c r="N192" s="42">
        <v>0.7727</v>
      </c>
      <c r="O192" s="42">
        <v>0.8636</v>
      </c>
      <c r="P192" s="42">
        <v>0.9091</v>
      </c>
      <c r="Q192" s="42">
        <v>0.8636</v>
      </c>
      <c r="R192" s="42">
        <v>0.6818</v>
      </c>
      <c r="S192" s="42">
        <v>0.8182</v>
      </c>
      <c r="T192" s="41">
        <v>0.7273</v>
      </c>
      <c r="U192" s="41">
        <v>0.9565</v>
      </c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37" t="s">
        <v>399</v>
      </c>
      <c r="B193" s="37" t="s">
        <v>36</v>
      </c>
      <c r="C193" s="37">
        <v>27.0</v>
      </c>
      <c r="D193" s="37">
        <v>1.511062505E10</v>
      </c>
      <c r="E193" s="37">
        <v>2.51002009E8</v>
      </c>
      <c r="F193" s="37" t="s">
        <v>460</v>
      </c>
      <c r="G193" s="40" t="str">
        <f t="shared" si="10"/>
        <v>OK</v>
      </c>
      <c r="H193" s="40">
        <f t="shared" si="11"/>
        <v>7</v>
      </c>
      <c r="I193" s="40">
        <f t="shared" si="12"/>
        <v>261</v>
      </c>
      <c r="J193" s="40">
        <f t="shared" si="13"/>
        <v>0</v>
      </c>
      <c r="K193" s="40"/>
      <c r="L193" s="42">
        <v>0.5238</v>
      </c>
      <c r="M193" s="42">
        <v>1.0</v>
      </c>
      <c r="N193" s="42">
        <v>0.7273</v>
      </c>
      <c r="O193" s="42">
        <v>1.0</v>
      </c>
      <c r="P193" s="42">
        <v>0.9091</v>
      </c>
      <c r="Q193" s="42">
        <v>0.9545</v>
      </c>
      <c r="R193" s="42">
        <v>0.7273</v>
      </c>
      <c r="S193" s="42">
        <v>1.0</v>
      </c>
      <c r="T193" s="41">
        <v>1.0</v>
      </c>
      <c r="U193" s="41">
        <v>0.8696</v>
      </c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37" t="s">
        <v>399</v>
      </c>
      <c r="B194" s="37" t="s">
        <v>36</v>
      </c>
      <c r="C194" s="37">
        <v>28.0</v>
      </c>
      <c r="D194" s="37">
        <v>1.5110625118E10</v>
      </c>
      <c r="E194" s="37">
        <v>2.51002012E8</v>
      </c>
      <c r="F194" s="37" t="s">
        <v>462</v>
      </c>
      <c r="G194" s="40" t="str">
        <f t="shared" si="10"/>
        <v>OK</v>
      </c>
      <c r="H194" s="40">
        <f t="shared" si="11"/>
        <v>10</v>
      </c>
      <c r="I194" s="40">
        <f t="shared" si="12"/>
        <v>269</v>
      </c>
      <c r="J194" s="40">
        <f t="shared" si="13"/>
        <v>0</v>
      </c>
      <c r="K194" s="40"/>
      <c r="L194" s="42">
        <v>0.9048</v>
      </c>
      <c r="M194" s="42">
        <v>1.0</v>
      </c>
      <c r="N194" s="42">
        <v>0.9091</v>
      </c>
      <c r="O194" s="42">
        <v>0.9091</v>
      </c>
      <c r="P194" s="42">
        <v>0.9091</v>
      </c>
      <c r="Q194" s="42">
        <v>0.9545</v>
      </c>
      <c r="R194" s="42">
        <v>0.9091</v>
      </c>
      <c r="S194" s="42">
        <v>0.8636</v>
      </c>
      <c r="T194" s="41">
        <v>0.9091</v>
      </c>
      <c r="U194" s="41">
        <v>0.6957</v>
      </c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37" t="s">
        <v>399</v>
      </c>
      <c r="B195" s="37" t="s">
        <v>36</v>
      </c>
      <c r="C195" s="37">
        <v>29.0</v>
      </c>
      <c r="D195" s="37">
        <v>1.5110625148E10</v>
      </c>
      <c r="E195" s="37">
        <v>2.51002015E8</v>
      </c>
      <c r="F195" s="37" t="s">
        <v>464</v>
      </c>
      <c r="G195" s="40" t="str">
        <f t="shared" si="10"/>
        <v>Pending</v>
      </c>
      <c r="H195" s="40">
        <f t="shared" si="11"/>
        <v>-14</v>
      </c>
      <c r="I195" s="40">
        <f t="shared" si="12"/>
        <v>198</v>
      </c>
      <c r="J195" s="40">
        <f t="shared" si="13"/>
        <v>42</v>
      </c>
      <c r="K195" s="40"/>
      <c r="L195" s="42">
        <v>0.5714</v>
      </c>
      <c r="M195" s="42">
        <v>0.0</v>
      </c>
      <c r="N195" s="42">
        <v>0.6364</v>
      </c>
      <c r="O195" s="42">
        <v>0.8636</v>
      </c>
      <c r="P195" s="42">
        <v>0.7273</v>
      </c>
      <c r="Q195" s="42">
        <v>0.9545</v>
      </c>
      <c r="R195" s="42">
        <v>0.9545</v>
      </c>
      <c r="S195" s="42">
        <v>0.7273</v>
      </c>
      <c r="T195" s="41">
        <v>0.6818</v>
      </c>
      <c r="U195" s="41">
        <v>0.4783</v>
      </c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37" t="s">
        <v>399</v>
      </c>
      <c r="B196" s="37" t="s">
        <v>36</v>
      </c>
      <c r="C196" s="37">
        <v>30.0</v>
      </c>
      <c r="D196" s="37">
        <v>1.5110625124E10</v>
      </c>
      <c r="E196" s="37">
        <v>2.51002021E8</v>
      </c>
      <c r="F196" s="37" t="s">
        <v>467</v>
      </c>
      <c r="G196" s="40" t="str">
        <f t="shared" si="10"/>
        <v>OK</v>
      </c>
      <c r="H196" s="40">
        <f t="shared" si="11"/>
        <v>5</v>
      </c>
      <c r="I196" s="40">
        <f t="shared" si="12"/>
        <v>254</v>
      </c>
      <c r="J196" s="40">
        <f t="shared" si="13"/>
        <v>0</v>
      </c>
      <c r="K196" s="40"/>
      <c r="L196" s="42">
        <v>1.0</v>
      </c>
      <c r="M196" s="42">
        <v>1.0</v>
      </c>
      <c r="N196" s="42">
        <v>0.8636</v>
      </c>
      <c r="O196" s="42">
        <v>0.8182</v>
      </c>
      <c r="P196" s="42">
        <v>0.9545</v>
      </c>
      <c r="Q196" s="42">
        <v>0.8636</v>
      </c>
      <c r="R196" s="42">
        <v>0.7273</v>
      </c>
      <c r="S196" s="42">
        <v>0.4091</v>
      </c>
      <c r="T196" s="41">
        <v>0.8636</v>
      </c>
      <c r="U196" s="41">
        <v>0.9565</v>
      </c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37" t="s">
        <v>399</v>
      </c>
      <c r="B197" s="37" t="s">
        <v>116</v>
      </c>
      <c r="C197" s="37">
        <v>31.0</v>
      </c>
      <c r="D197" s="37">
        <v>1.511062514E10</v>
      </c>
      <c r="E197" s="37">
        <v>2.51002022E8</v>
      </c>
      <c r="F197" s="37" t="s">
        <v>469</v>
      </c>
      <c r="G197" s="40" t="str">
        <f t="shared" si="10"/>
        <v>Pending</v>
      </c>
      <c r="H197" s="40">
        <f t="shared" si="11"/>
        <v>-1</v>
      </c>
      <c r="I197" s="40">
        <f t="shared" si="12"/>
        <v>236</v>
      </c>
      <c r="J197" s="40">
        <f t="shared" si="13"/>
        <v>4</v>
      </c>
      <c r="K197" s="40"/>
      <c r="L197" s="42">
        <v>0.7143</v>
      </c>
      <c r="M197" s="42">
        <v>0.8571</v>
      </c>
      <c r="N197" s="42">
        <v>0.8182</v>
      </c>
      <c r="O197" s="42">
        <v>0.8636</v>
      </c>
      <c r="P197" s="42">
        <v>0.8636</v>
      </c>
      <c r="Q197" s="42">
        <v>0.8636</v>
      </c>
      <c r="R197" s="42">
        <v>0.6818</v>
      </c>
      <c r="S197" s="42">
        <v>0.8182</v>
      </c>
      <c r="T197" s="41">
        <v>0.6364</v>
      </c>
      <c r="U197" s="41">
        <v>0.7391</v>
      </c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37" t="s">
        <v>399</v>
      </c>
      <c r="B198" s="37" t="s">
        <v>116</v>
      </c>
      <c r="C198" s="37">
        <v>32.0</v>
      </c>
      <c r="D198" s="37">
        <v>1.5110625032E10</v>
      </c>
      <c r="E198" s="37">
        <v>2.51002023E8</v>
      </c>
      <c r="F198" s="37" t="s">
        <v>471</v>
      </c>
      <c r="G198" s="40" t="str">
        <f t="shared" si="10"/>
        <v>OK</v>
      </c>
      <c r="H198" s="40">
        <f t="shared" si="11"/>
        <v>5</v>
      </c>
      <c r="I198" s="40">
        <f t="shared" si="12"/>
        <v>256</v>
      </c>
      <c r="J198" s="40">
        <f t="shared" si="13"/>
        <v>0</v>
      </c>
      <c r="K198" s="40"/>
      <c r="L198" s="42">
        <v>0.9048</v>
      </c>
      <c r="M198" s="42">
        <v>0.7619</v>
      </c>
      <c r="N198" s="42">
        <v>0.9091</v>
      </c>
      <c r="O198" s="42">
        <v>0.9091</v>
      </c>
      <c r="P198" s="42">
        <v>0.7727</v>
      </c>
      <c r="Q198" s="42">
        <v>0.9545</v>
      </c>
      <c r="R198" s="42">
        <v>0.9091</v>
      </c>
      <c r="S198" s="42">
        <v>0.8636</v>
      </c>
      <c r="T198" s="41">
        <v>0.9091</v>
      </c>
      <c r="U198" s="41">
        <v>0.6522</v>
      </c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37" t="s">
        <v>399</v>
      </c>
      <c r="B199" s="37" t="s">
        <v>116</v>
      </c>
      <c r="C199" s="37">
        <v>33.0</v>
      </c>
      <c r="D199" s="37">
        <v>1.5110625158E10</v>
      </c>
      <c r="E199" s="37">
        <v>2.51002026E8</v>
      </c>
      <c r="F199" s="37" t="s">
        <v>473</v>
      </c>
      <c r="G199" s="40" t="str">
        <f t="shared" si="10"/>
        <v>OK</v>
      </c>
      <c r="H199" s="40">
        <f t="shared" si="11"/>
        <v>5</v>
      </c>
      <c r="I199" s="40">
        <f t="shared" si="12"/>
        <v>254</v>
      </c>
      <c r="J199" s="40">
        <f t="shared" si="13"/>
        <v>0</v>
      </c>
      <c r="K199" s="40"/>
      <c r="L199" s="42">
        <v>0.2857</v>
      </c>
      <c r="M199" s="42">
        <v>1.0</v>
      </c>
      <c r="N199" s="42">
        <v>0.9545</v>
      </c>
      <c r="O199" s="42">
        <v>0.5455</v>
      </c>
      <c r="P199" s="42">
        <v>1.0</v>
      </c>
      <c r="Q199" s="42">
        <v>0.9545</v>
      </c>
      <c r="R199" s="42">
        <v>0.9545</v>
      </c>
      <c r="S199" s="42">
        <v>0.9545</v>
      </c>
      <c r="T199" s="41">
        <v>1.0</v>
      </c>
      <c r="U199" s="41">
        <v>0.8261</v>
      </c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37" t="s">
        <v>399</v>
      </c>
      <c r="B200" s="37" t="s">
        <v>116</v>
      </c>
      <c r="C200" s="37">
        <v>34.0</v>
      </c>
      <c r="D200" s="37">
        <v>1.5110625044E10</v>
      </c>
      <c r="E200" s="37">
        <v>2.51002028E8</v>
      </c>
      <c r="F200" s="37" t="s">
        <v>475</v>
      </c>
      <c r="G200" s="40" t="str">
        <f t="shared" si="10"/>
        <v>OK</v>
      </c>
      <c r="H200" s="40">
        <f t="shared" si="11"/>
        <v>7</v>
      </c>
      <c r="I200" s="40">
        <f t="shared" si="12"/>
        <v>261</v>
      </c>
      <c r="J200" s="40">
        <f t="shared" si="13"/>
        <v>0</v>
      </c>
      <c r="K200" s="40"/>
      <c r="L200" s="42">
        <v>0.9048</v>
      </c>
      <c r="M200" s="42">
        <v>1.0</v>
      </c>
      <c r="N200" s="42">
        <v>1.0</v>
      </c>
      <c r="O200" s="42">
        <v>0.9091</v>
      </c>
      <c r="P200" s="42">
        <v>0.6364</v>
      </c>
      <c r="Q200" s="42">
        <v>0.9545</v>
      </c>
      <c r="R200" s="42">
        <v>0.8636</v>
      </c>
      <c r="S200" s="42">
        <v>0.9545</v>
      </c>
      <c r="T200" s="41">
        <v>0.7727</v>
      </c>
      <c r="U200" s="41">
        <v>0.6957</v>
      </c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37" t="s">
        <v>399</v>
      </c>
      <c r="B201" s="37" t="s">
        <v>116</v>
      </c>
      <c r="C201" s="37">
        <v>35.0</v>
      </c>
      <c r="D201" s="37">
        <v>1.5110625064E10</v>
      </c>
      <c r="E201" s="37">
        <v>2.51002029E8</v>
      </c>
      <c r="F201" s="37" t="s">
        <v>477</v>
      </c>
      <c r="G201" s="40" t="str">
        <f t="shared" si="10"/>
        <v>Pending</v>
      </c>
      <c r="H201" s="40">
        <f t="shared" si="11"/>
        <v>-1</v>
      </c>
      <c r="I201" s="40">
        <f t="shared" si="12"/>
        <v>238</v>
      </c>
      <c r="J201" s="40">
        <f t="shared" si="13"/>
        <v>2</v>
      </c>
      <c r="K201" s="40"/>
      <c r="L201" s="42">
        <v>0.7619</v>
      </c>
      <c r="M201" s="42">
        <v>0.9048</v>
      </c>
      <c r="N201" s="42">
        <v>0.8182</v>
      </c>
      <c r="O201" s="42">
        <v>0.4091</v>
      </c>
      <c r="P201" s="42">
        <v>0.9545</v>
      </c>
      <c r="Q201" s="42">
        <v>0.8182</v>
      </c>
      <c r="R201" s="42">
        <v>0.9091</v>
      </c>
      <c r="S201" s="42">
        <v>0.4091</v>
      </c>
      <c r="T201" s="41">
        <v>1.0</v>
      </c>
      <c r="U201" s="41">
        <v>0.9565</v>
      </c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37" t="s">
        <v>399</v>
      </c>
      <c r="B202" s="37" t="s">
        <v>116</v>
      </c>
      <c r="C202" s="37">
        <v>36.0</v>
      </c>
      <c r="D202" s="37">
        <v>1.5110625122E10</v>
      </c>
      <c r="E202" s="37">
        <v>2.5100203E8</v>
      </c>
      <c r="F202" s="37" t="s">
        <v>479</v>
      </c>
      <c r="G202" s="40" t="str">
        <f t="shared" si="10"/>
        <v>OK</v>
      </c>
      <c r="H202" s="40">
        <f t="shared" si="11"/>
        <v>0</v>
      </c>
      <c r="I202" s="40">
        <f t="shared" si="12"/>
        <v>240</v>
      </c>
      <c r="J202" s="40">
        <f t="shared" si="13"/>
        <v>0</v>
      </c>
      <c r="K202" s="40"/>
      <c r="L202" s="42">
        <v>0.8095</v>
      </c>
      <c r="M202" s="42">
        <v>0.0</v>
      </c>
      <c r="N202" s="42">
        <v>1.0</v>
      </c>
      <c r="O202" s="42">
        <v>1.0</v>
      </c>
      <c r="P202" s="42">
        <v>0.9091</v>
      </c>
      <c r="Q202" s="42">
        <v>0.9091</v>
      </c>
      <c r="R202" s="42">
        <v>0.8636</v>
      </c>
      <c r="S202" s="42">
        <v>0.8636</v>
      </c>
      <c r="T202" s="41">
        <v>0.8636</v>
      </c>
      <c r="U202" s="41">
        <v>0.7826</v>
      </c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37" t="s">
        <v>399</v>
      </c>
      <c r="B203" s="37" t="s">
        <v>116</v>
      </c>
      <c r="C203" s="37">
        <v>37.0</v>
      </c>
      <c r="D203" s="37">
        <v>1.5110625036E10</v>
      </c>
      <c r="E203" s="37">
        <v>2.51002031E8</v>
      </c>
      <c r="F203" s="37" t="s">
        <v>482</v>
      </c>
      <c r="G203" s="40" t="str">
        <f t="shared" si="10"/>
        <v>OK</v>
      </c>
      <c r="H203" s="40">
        <f t="shared" si="11"/>
        <v>12</v>
      </c>
      <c r="I203" s="40">
        <f t="shared" si="12"/>
        <v>275</v>
      </c>
      <c r="J203" s="40">
        <f t="shared" si="13"/>
        <v>0</v>
      </c>
      <c r="K203" s="40"/>
      <c r="L203" s="42">
        <v>1.0</v>
      </c>
      <c r="M203" s="42">
        <v>0.7619</v>
      </c>
      <c r="N203" s="42">
        <v>0.8182</v>
      </c>
      <c r="O203" s="42">
        <v>1.0</v>
      </c>
      <c r="P203" s="42">
        <v>0.9545</v>
      </c>
      <c r="Q203" s="42">
        <v>0.9545</v>
      </c>
      <c r="R203" s="42">
        <v>0.8636</v>
      </c>
      <c r="S203" s="42">
        <v>1.0</v>
      </c>
      <c r="T203" s="41">
        <v>0.8636</v>
      </c>
      <c r="U203" s="41">
        <v>0.9565</v>
      </c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37" t="s">
        <v>399</v>
      </c>
      <c r="B204" s="37" t="s">
        <v>116</v>
      </c>
      <c r="C204" s="37">
        <v>38.0</v>
      </c>
      <c r="D204" s="37">
        <v>1.5110625119E10</v>
      </c>
      <c r="E204" s="37">
        <v>2.51002032E8</v>
      </c>
      <c r="F204" s="37" t="s">
        <v>484</v>
      </c>
      <c r="G204" s="40" t="str">
        <f t="shared" si="10"/>
        <v>Pending</v>
      </c>
      <c r="H204" s="40">
        <f t="shared" si="11"/>
        <v>-9</v>
      </c>
      <c r="I204" s="40">
        <f t="shared" si="12"/>
        <v>214</v>
      </c>
      <c r="J204" s="40">
        <f t="shared" si="13"/>
        <v>26</v>
      </c>
      <c r="K204" s="40"/>
      <c r="L204" s="42">
        <v>0.4762</v>
      </c>
      <c r="M204" s="42">
        <v>0.0</v>
      </c>
      <c r="N204" s="42">
        <v>1.0</v>
      </c>
      <c r="O204" s="42">
        <v>0.8636</v>
      </c>
      <c r="P204" s="42">
        <v>1.0</v>
      </c>
      <c r="Q204" s="42">
        <v>0.8636</v>
      </c>
      <c r="R204" s="42">
        <v>0.7727</v>
      </c>
      <c r="S204" s="42">
        <v>0.8636</v>
      </c>
      <c r="T204" s="41">
        <v>0.7727</v>
      </c>
      <c r="U204" s="41">
        <v>0.5217</v>
      </c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37" t="s">
        <v>399</v>
      </c>
      <c r="B205" s="37" t="s">
        <v>116</v>
      </c>
      <c r="C205" s="37">
        <v>39.0</v>
      </c>
      <c r="D205" s="37">
        <v>1.5110625115E10</v>
      </c>
      <c r="E205" s="37">
        <v>2.51002033E8</v>
      </c>
      <c r="F205" s="37" t="s">
        <v>486</v>
      </c>
      <c r="G205" s="40" t="str">
        <f t="shared" si="10"/>
        <v>OK</v>
      </c>
      <c r="H205" s="40">
        <f t="shared" si="11"/>
        <v>8</v>
      </c>
      <c r="I205" s="40">
        <f t="shared" si="12"/>
        <v>263</v>
      </c>
      <c r="J205" s="40">
        <f t="shared" si="13"/>
        <v>0</v>
      </c>
      <c r="K205" s="40"/>
      <c r="L205" s="42">
        <v>0.7619</v>
      </c>
      <c r="M205" s="42">
        <v>1.0</v>
      </c>
      <c r="N205" s="42">
        <v>1.0</v>
      </c>
      <c r="O205" s="42">
        <v>1.0</v>
      </c>
      <c r="P205" s="42">
        <v>0.9091</v>
      </c>
      <c r="Q205" s="42">
        <v>1.0</v>
      </c>
      <c r="R205" s="42">
        <v>0.9091</v>
      </c>
      <c r="S205" s="42">
        <v>1.0</v>
      </c>
      <c r="T205" s="41">
        <v>0.2273</v>
      </c>
      <c r="U205" s="41">
        <v>0.9565</v>
      </c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37" t="s">
        <v>399</v>
      </c>
      <c r="B206" s="37" t="s">
        <v>116</v>
      </c>
      <c r="C206" s="37">
        <v>40.0</v>
      </c>
      <c r="D206" s="37">
        <v>1.5110625133E10</v>
      </c>
      <c r="E206" s="37">
        <v>2.51002035E8</v>
      </c>
      <c r="F206" s="37" t="s">
        <v>488</v>
      </c>
      <c r="G206" s="40" t="str">
        <f t="shared" si="10"/>
        <v>Pending</v>
      </c>
      <c r="H206" s="40">
        <f t="shared" si="11"/>
        <v>-35</v>
      </c>
      <c r="I206" s="40">
        <f t="shared" si="12"/>
        <v>135</v>
      </c>
      <c r="J206" s="40">
        <f t="shared" si="13"/>
        <v>105</v>
      </c>
      <c r="K206" s="40"/>
      <c r="L206" s="42">
        <v>0.5714</v>
      </c>
      <c r="M206" s="42">
        <v>0.0</v>
      </c>
      <c r="N206" s="42">
        <v>0.4545</v>
      </c>
      <c r="O206" s="42">
        <v>0.9091</v>
      </c>
      <c r="P206" s="42">
        <v>0.3636</v>
      </c>
      <c r="Q206" s="42">
        <v>0.4545</v>
      </c>
      <c r="R206" s="42">
        <v>0.9091</v>
      </c>
      <c r="S206" s="42">
        <v>0.2727</v>
      </c>
      <c r="T206" s="41">
        <v>0.3636</v>
      </c>
      <c r="U206" s="41">
        <v>0.2174</v>
      </c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37" t="s">
        <v>399</v>
      </c>
      <c r="B207" s="37" t="s">
        <v>116</v>
      </c>
      <c r="C207" s="37">
        <v>41.0</v>
      </c>
      <c r="D207" s="37">
        <v>1.5110625112E10</v>
      </c>
      <c r="E207" s="37">
        <v>2.51002036E8</v>
      </c>
      <c r="F207" s="37" t="s">
        <v>490</v>
      </c>
      <c r="G207" s="40" t="str">
        <f t="shared" si="10"/>
        <v>OK</v>
      </c>
      <c r="H207" s="40">
        <f t="shared" si="11"/>
        <v>4</v>
      </c>
      <c r="I207" s="40">
        <f t="shared" si="12"/>
        <v>252</v>
      </c>
      <c r="J207" s="40">
        <f t="shared" si="13"/>
        <v>0</v>
      </c>
      <c r="K207" s="40"/>
      <c r="L207" s="42">
        <v>0.7619</v>
      </c>
      <c r="M207" s="42">
        <v>0.0476</v>
      </c>
      <c r="N207" s="42">
        <v>1.0</v>
      </c>
      <c r="O207" s="42">
        <v>1.0</v>
      </c>
      <c r="P207" s="42">
        <v>0.8182</v>
      </c>
      <c r="Q207" s="42">
        <v>0.8636</v>
      </c>
      <c r="R207" s="42">
        <v>1.0</v>
      </c>
      <c r="S207" s="42">
        <v>0.9545</v>
      </c>
      <c r="T207" s="41">
        <v>1.0</v>
      </c>
      <c r="U207" s="41">
        <v>0.9565</v>
      </c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37" t="s">
        <v>399</v>
      </c>
      <c r="B208" s="37" t="s">
        <v>116</v>
      </c>
      <c r="C208" s="37">
        <v>42.0</v>
      </c>
      <c r="D208" s="37">
        <v>1.5110625125E10</v>
      </c>
      <c r="E208" s="37">
        <v>2.51002037E8</v>
      </c>
      <c r="F208" s="37" t="s">
        <v>492</v>
      </c>
      <c r="G208" s="40" t="str">
        <f t="shared" si="10"/>
        <v>OK</v>
      </c>
      <c r="H208" s="40">
        <f t="shared" si="11"/>
        <v>7</v>
      </c>
      <c r="I208" s="40">
        <f t="shared" si="12"/>
        <v>261</v>
      </c>
      <c r="J208" s="40">
        <f t="shared" si="13"/>
        <v>0</v>
      </c>
      <c r="K208" s="40"/>
      <c r="L208" s="42">
        <v>0.7619</v>
      </c>
      <c r="M208" s="42">
        <v>0.7619</v>
      </c>
      <c r="N208" s="42">
        <v>1.0</v>
      </c>
      <c r="O208" s="42">
        <v>1.0</v>
      </c>
      <c r="P208" s="42">
        <v>0.8636</v>
      </c>
      <c r="Q208" s="42">
        <v>0.9545</v>
      </c>
      <c r="R208" s="42">
        <v>0.8182</v>
      </c>
      <c r="S208" s="42">
        <v>0.9545</v>
      </c>
      <c r="T208" s="41">
        <v>0.7727</v>
      </c>
      <c r="U208" s="41">
        <v>0.8261</v>
      </c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37" t="s">
        <v>399</v>
      </c>
      <c r="B209" s="37" t="s">
        <v>116</v>
      </c>
      <c r="C209" s="37">
        <v>43.0</v>
      </c>
      <c r="D209" s="37">
        <v>1.511062511E10</v>
      </c>
      <c r="E209" s="37">
        <v>2.51002038E8</v>
      </c>
      <c r="F209" s="37" t="s">
        <v>494</v>
      </c>
      <c r="G209" s="40" t="str">
        <f t="shared" si="10"/>
        <v>Pending</v>
      </c>
      <c r="H209" s="40">
        <f t="shared" si="11"/>
        <v>-13</v>
      </c>
      <c r="I209" s="40">
        <f t="shared" si="12"/>
        <v>202</v>
      </c>
      <c r="J209" s="40">
        <f t="shared" si="13"/>
        <v>38</v>
      </c>
      <c r="K209" s="40"/>
      <c r="L209" s="42">
        <v>0.8095</v>
      </c>
      <c r="M209" s="42">
        <v>0.0476</v>
      </c>
      <c r="N209" s="42">
        <v>0.6364</v>
      </c>
      <c r="O209" s="42">
        <v>0.7727</v>
      </c>
      <c r="P209" s="42">
        <v>0.7727</v>
      </c>
      <c r="Q209" s="42">
        <v>0.4545</v>
      </c>
      <c r="R209" s="42">
        <v>0.8182</v>
      </c>
      <c r="S209" s="42">
        <v>0.9091</v>
      </c>
      <c r="T209" s="41">
        <v>0.8182</v>
      </c>
      <c r="U209" s="41">
        <v>0.6957</v>
      </c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37" t="s">
        <v>399</v>
      </c>
      <c r="B210" s="37" t="s">
        <v>116</v>
      </c>
      <c r="C210" s="37">
        <v>44.0</v>
      </c>
      <c r="D210" s="37">
        <v>1.5110625161E10</v>
      </c>
      <c r="E210" s="37">
        <v>2.51002039E8</v>
      </c>
      <c r="F210" s="37" t="s">
        <v>495</v>
      </c>
      <c r="G210" s="40" t="str">
        <f t="shared" si="10"/>
        <v>OK</v>
      </c>
      <c r="H210" s="40">
        <f t="shared" si="11"/>
        <v>19</v>
      </c>
      <c r="I210" s="40">
        <f t="shared" si="12"/>
        <v>297</v>
      </c>
      <c r="J210" s="40">
        <f t="shared" si="13"/>
        <v>0</v>
      </c>
      <c r="K210" s="40"/>
      <c r="L210" s="42">
        <v>1.0</v>
      </c>
      <c r="M210" s="42">
        <v>1.0</v>
      </c>
      <c r="N210" s="42">
        <v>1.0</v>
      </c>
      <c r="O210" s="42">
        <v>1.0</v>
      </c>
      <c r="P210" s="42">
        <v>1.0</v>
      </c>
      <c r="Q210" s="42">
        <v>0.9545</v>
      </c>
      <c r="R210" s="42">
        <v>1.0</v>
      </c>
      <c r="S210" s="42">
        <v>1.0</v>
      </c>
      <c r="T210" s="41">
        <v>1.0</v>
      </c>
      <c r="U210" s="41">
        <v>0.9565</v>
      </c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37" t="s">
        <v>399</v>
      </c>
      <c r="B211" s="37" t="s">
        <v>116</v>
      </c>
      <c r="C211" s="37">
        <v>45.0</v>
      </c>
      <c r="D211" s="37">
        <v>1.5110625116E10</v>
      </c>
      <c r="E211" s="37">
        <v>2.5100204E8</v>
      </c>
      <c r="F211" s="37" t="s">
        <v>496</v>
      </c>
      <c r="G211" s="40" t="str">
        <f t="shared" si="10"/>
        <v>OK</v>
      </c>
      <c r="H211" s="40">
        <f t="shared" si="11"/>
        <v>4</v>
      </c>
      <c r="I211" s="40">
        <f t="shared" si="12"/>
        <v>251</v>
      </c>
      <c r="J211" s="40">
        <f t="shared" si="13"/>
        <v>0</v>
      </c>
      <c r="K211" s="40"/>
      <c r="L211" s="42">
        <v>0.9048</v>
      </c>
      <c r="M211" s="42">
        <v>1.0</v>
      </c>
      <c r="N211" s="42">
        <v>0.7727</v>
      </c>
      <c r="O211" s="42">
        <v>0.8182</v>
      </c>
      <c r="P211" s="42">
        <v>0.6364</v>
      </c>
      <c r="Q211" s="42">
        <v>0.9545</v>
      </c>
      <c r="R211" s="42">
        <v>0.9091</v>
      </c>
      <c r="S211" s="42">
        <v>0.8636</v>
      </c>
      <c r="T211" s="41">
        <v>0.8636</v>
      </c>
      <c r="U211" s="41">
        <v>0.6522</v>
      </c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37" t="s">
        <v>399</v>
      </c>
      <c r="B212" s="37" t="s">
        <v>116</v>
      </c>
      <c r="C212" s="37">
        <v>46.0</v>
      </c>
      <c r="D212" s="37">
        <v>1.5110625135E10</v>
      </c>
      <c r="E212" s="37">
        <v>2.51002044E8</v>
      </c>
      <c r="F212" s="37" t="s">
        <v>497</v>
      </c>
      <c r="G212" s="40" t="str">
        <f t="shared" si="10"/>
        <v>Pending</v>
      </c>
      <c r="H212" s="40">
        <f t="shared" si="11"/>
        <v>-9</v>
      </c>
      <c r="I212" s="40">
        <f t="shared" si="12"/>
        <v>214</v>
      </c>
      <c r="J212" s="40">
        <f t="shared" si="13"/>
        <v>26</v>
      </c>
      <c r="K212" s="40"/>
      <c r="L212" s="42">
        <v>0.619</v>
      </c>
      <c r="M212" s="42">
        <v>0.0</v>
      </c>
      <c r="N212" s="42">
        <v>0.5909</v>
      </c>
      <c r="O212" s="42">
        <v>0.7727</v>
      </c>
      <c r="P212" s="42">
        <v>0.6818</v>
      </c>
      <c r="Q212" s="42">
        <v>0.7727</v>
      </c>
      <c r="R212" s="42">
        <v>1.0</v>
      </c>
      <c r="S212" s="42">
        <v>0.9091</v>
      </c>
      <c r="T212" s="41">
        <v>0.9091</v>
      </c>
      <c r="U212" s="41">
        <v>0.8696</v>
      </c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37" t="s">
        <v>399</v>
      </c>
      <c r="B213" s="37" t="s">
        <v>116</v>
      </c>
      <c r="C213" s="37">
        <v>47.0</v>
      </c>
      <c r="D213" s="37">
        <v>1.5110625153E10</v>
      </c>
      <c r="E213" s="37">
        <v>2.51002045E8</v>
      </c>
      <c r="F213" s="37" t="s">
        <v>498</v>
      </c>
      <c r="G213" s="40" t="str">
        <f t="shared" si="10"/>
        <v>Pending</v>
      </c>
      <c r="H213" s="40">
        <f t="shared" si="11"/>
        <v>-6</v>
      </c>
      <c r="I213" s="40">
        <f t="shared" si="12"/>
        <v>221</v>
      </c>
      <c r="J213" s="40">
        <f t="shared" si="13"/>
        <v>19</v>
      </c>
      <c r="K213" s="40"/>
      <c r="L213" s="42">
        <v>0.0</v>
      </c>
      <c r="M213" s="42">
        <v>0.9524</v>
      </c>
      <c r="N213" s="42">
        <v>0.6818</v>
      </c>
      <c r="O213" s="42">
        <v>1.0</v>
      </c>
      <c r="P213" s="42">
        <v>0.8636</v>
      </c>
      <c r="Q213" s="42">
        <v>0.9545</v>
      </c>
      <c r="R213" s="42">
        <v>0.9091</v>
      </c>
      <c r="S213" s="42">
        <v>0.7273</v>
      </c>
      <c r="T213" s="41">
        <v>0.3182</v>
      </c>
      <c r="U213" s="41">
        <v>0.9565</v>
      </c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37" t="s">
        <v>399</v>
      </c>
      <c r="B214" s="37" t="s">
        <v>116</v>
      </c>
      <c r="C214" s="37">
        <v>48.0</v>
      </c>
      <c r="D214" s="37">
        <v>1.5110625155E10</v>
      </c>
      <c r="E214" s="37">
        <v>2.51002046E8</v>
      </c>
      <c r="F214" s="37" t="s">
        <v>499</v>
      </c>
      <c r="G214" s="40" t="str">
        <f t="shared" si="10"/>
        <v>OK</v>
      </c>
      <c r="H214" s="40">
        <f t="shared" si="11"/>
        <v>3</v>
      </c>
      <c r="I214" s="40">
        <f t="shared" si="12"/>
        <v>250</v>
      </c>
      <c r="J214" s="40">
        <f t="shared" si="13"/>
        <v>0</v>
      </c>
      <c r="K214" s="40"/>
      <c r="L214" s="42">
        <v>0.8571</v>
      </c>
      <c r="M214" s="42">
        <v>0.619</v>
      </c>
      <c r="N214" s="42">
        <v>0.6818</v>
      </c>
      <c r="O214" s="42">
        <v>0.6818</v>
      </c>
      <c r="P214" s="42">
        <v>0.9545</v>
      </c>
      <c r="Q214" s="42">
        <v>0.8636</v>
      </c>
      <c r="R214" s="42">
        <v>0.8636</v>
      </c>
      <c r="S214" s="42">
        <v>0.9091</v>
      </c>
      <c r="T214" s="41">
        <v>0.9545</v>
      </c>
      <c r="U214" s="41">
        <v>0.9565</v>
      </c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37" t="s">
        <v>399</v>
      </c>
      <c r="B215" s="37" t="s">
        <v>116</v>
      </c>
      <c r="C215" s="37">
        <v>49.0</v>
      </c>
      <c r="D215" s="37">
        <v>1.5110625108E10</v>
      </c>
      <c r="E215" s="37">
        <v>2.51002047E8</v>
      </c>
      <c r="F215" s="37" t="s">
        <v>501</v>
      </c>
      <c r="G215" s="40" t="str">
        <f t="shared" si="10"/>
        <v>OK</v>
      </c>
      <c r="H215" s="40">
        <f t="shared" si="11"/>
        <v>2</v>
      </c>
      <c r="I215" s="40">
        <f t="shared" si="12"/>
        <v>247</v>
      </c>
      <c r="J215" s="40">
        <f t="shared" si="13"/>
        <v>0</v>
      </c>
      <c r="K215" s="40"/>
      <c r="L215" s="42">
        <v>0.7619</v>
      </c>
      <c r="M215" s="42">
        <v>0.8571</v>
      </c>
      <c r="N215" s="42">
        <v>0.9091</v>
      </c>
      <c r="O215" s="42">
        <v>0.7727</v>
      </c>
      <c r="P215" s="42">
        <v>0.8636</v>
      </c>
      <c r="Q215" s="42">
        <v>0.9091</v>
      </c>
      <c r="R215" s="42">
        <v>0.8636</v>
      </c>
      <c r="S215" s="42">
        <v>0.5455</v>
      </c>
      <c r="T215" s="41">
        <v>0.9545</v>
      </c>
      <c r="U215" s="41">
        <v>0.7826</v>
      </c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37" t="s">
        <v>399</v>
      </c>
      <c r="B216" s="37" t="s">
        <v>116</v>
      </c>
      <c r="C216" s="37">
        <v>50.0</v>
      </c>
      <c r="D216" s="37">
        <v>1.5110625127E10</v>
      </c>
      <c r="E216" s="37">
        <v>2.51002049E8</v>
      </c>
      <c r="F216" s="37" t="s">
        <v>503</v>
      </c>
      <c r="G216" s="40" t="str">
        <f t="shared" si="10"/>
        <v>OK</v>
      </c>
      <c r="H216" s="40">
        <f t="shared" si="11"/>
        <v>2</v>
      </c>
      <c r="I216" s="40">
        <f t="shared" si="12"/>
        <v>247</v>
      </c>
      <c r="J216" s="40">
        <f t="shared" si="13"/>
        <v>0</v>
      </c>
      <c r="K216" s="40"/>
      <c r="L216" s="42">
        <v>0.9048</v>
      </c>
      <c r="M216" s="42">
        <v>0.0476</v>
      </c>
      <c r="N216" s="42">
        <v>1.0</v>
      </c>
      <c r="O216" s="42">
        <v>0.9545</v>
      </c>
      <c r="P216" s="42">
        <v>0.7273</v>
      </c>
      <c r="Q216" s="42">
        <v>0.9091</v>
      </c>
      <c r="R216" s="42">
        <v>0.9091</v>
      </c>
      <c r="S216" s="42">
        <v>0.9545</v>
      </c>
      <c r="T216" s="41">
        <v>1.0</v>
      </c>
      <c r="U216" s="41">
        <v>0.8261</v>
      </c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37" t="s">
        <v>399</v>
      </c>
      <c r="B217" s="37" t="s">
        <v>116</v>
      </c>
      <c r="C217" s="37">
        <v>61.0</v>
      </c>
      <c r="D217" s="37">
        <v>1.5110626011E10</v>
      </c>
      <c r="E217" s="37">
        <v>2.63002001E8</v>
      </c>
      <c r="F217" s="37" t="s">
        <v>505</v>
      </c>
      <c r="G217" s="40" t="str">
        <f t="shared" si="10"/>
        <v>Pending</v>
      </c>
      <c r="H217" s="40">
        <f t="shared" si="11"/>
        <v>-1</v>
      </c>
      <c r="I217" s="40">
        <f t="shared" si="12"/>
        <v>237</v>
      </c>
      <c r="J217" s="40">
        <f t="shared" si="13"/>
        <v>3</v>
      </c>
      <c r="K217" s="40"/>
      <c r="L217" s="42">
        <v>0.0</v>
      </c>
      <c r="M217" s="42">
        <v>1.0</v>
      </c>
      <c r="N217" s="42">
        <v>0.8571</v>
      </c>
      <c r="O217" s="42">
        <v>0.95</v>
      </c>
      <c r="P217" s="42">
        <v>0.6842</v>
      </c>
      <c r="Q217" s="42">
        <v>0.8947</v>
      </c>
      <c r="R217" s="42">
        <v>1.0</v>
      </c>
      <c r="S217" s="42">
        <v>0.7895</v>
      </c>
      <c r="T217" s="41">
        <v>1.0</v>
      </c>
      <c r="U217" s="41">
        <v>0.7391</v>
      </c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29" t="s">
        <v>6</v>
      </c>
      <c r="B218" s="29" t="s">
        <v>7</v>
      </c>
      <c r="C218" s="29" t="s">
        <v>8</v>
      </c>
      <c r="D218" s="29" t="s">
        <v>9</v>
      </c>
      <c r="E218" s="29" t="s">
        <v>10</v>
      </c>
      <c r="F218" s="29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6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37" t="s">
        <v>508</v>
      </c>
      <c r="B219" s="37" t="s">
        <v>243</v>
      </c>
      <c r="C219" s="37">
        <v>1.0</v>
      </c>
      <c r="D219" s="37">
        <v>1.5110621089E10</v>
      </c>
      <c r="E219" s="37">
        <v>2.10002094E8</v>
      </c>
      <c r="F219" s="37" t="s">
        <v>509</v>
      </c>
      <c r="G219" s="40" t="str">
        <f t="shared" ref="G219:G296" si="14">IF(H219&gt;=0,"OK",IF(K219&gt;=J219,"Completed","Pending"))</f>
        <v>Pending</v>
      </c>
      <c r="H219" s="40">
        <f t="shared" ref="H219:H296" si="15">round((((((L219*100)*$L$5)+((M219*100)*$M$5)+((N219*100)*$N$5)+((O219*100)*$O$5)+((P219*100)*$P$5)+((Q219*100)*$Q$5)+((R219*100)*$R$5)+((S219*100)*$S$5)+((T219*100)*$T$5)+((U219*100)*$U$5)+((V219*100)*$V$5)+((W219*100)*$W$5)+((X219*100)*$X$5)+((Y219*100)*$Y$5)+((Z219*100)*$Z$5)++((W219*100)*$W$5)+((AA219*100)*$AA$5))/($L$5+$M$5+$N$5+$O$5+$P$5+$Q$5+$R$5+$S$5+$T$5+$V$5+$U$5+$W$5+$X$5+$Y$5+$Z$5+$AA$5))-80),0)</f>
        <v>-76</v>
      </c>
      <c r="I219" s="40">
        <f t="shared" ref="I219:I296" si="16">round(30*((L219*$L$5)+(M219*$M$5)+(N219*$N$5)+(O219*$O$5)+(P219*$P$5)+(Q219*$Q$5)+(R219*$R$5)+(S219*$S$5)+(T219*$T$5)+(U219*$U$5)+(V219*$V$5)+(W219*$W$5)+(X219*$X$5)+(Y219*$Y$5)+(Z219*$Z$5)+(AA219*$AA$5)),0)</f>
        <v>12</v>
      </c>
      <c r="J219" s="40">
        <f t="shared" ref="J219:J296" si="17">if(I219&lt;(24*($L$5+$M$5+$N$5+$O$5+$P$5+$Q$5+$R$5+$S$5+$T$5+$V$5+$U$5+$W$5+$X$5+$Y$5+$Z$5+$AA$5)),abs(I219-(24*($L$5+$M$5+$N$5+$O$5+$P$5+$Q$5+$R$5+$S$5+$T$5+$V$5+$U$5+$W$5+$X$5+$Y$5+$Z$5+$AA$5))),0)</f>
        <v>228</v>
      </c>
      <c r="K219" s="40"/>
      <c r="L219" s="42">
        <v>0.1364</v>
      </c>
      <c r="M219" s="42">
        <v>0.0</v>
      </c>
      <c r="N219" s="42">
        <v>0.0</v>
      </c>
      <c r="O219" s="42">
        <v>0.0</v>
      </c>
      <c r="P219" s="42">
        <v>0.0</v>
      </c>
      <c r="Q219" s="42">
        <v>0.087</v>
      </c>
      <c r="R219" s="42">
        <v>0.1364</v>
      </c>
      <c r="S219" s="42">
        <v>0.0</v>
      </c>
      <c r="T219" s="41">
        <v>0.0</v>
      </c>
      <c r="U219" s="41">
        <v>0.0455</v>
      </c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37" t="s">
        <v>508</v>
      </c>
      <c r="B220" s="37" t="s">
        <v>243</v>
      </c>
      <c r="C220" s="37">
        <v>2.0</v>
      </c>
      <c r="D220" s="37">
        <v>1.5110624142E10</v>
      </c>
      <c r="E220" s="37">
        <v>2.40002001E8</v>
      </c>
      <c r="F220" s="37" t="s">
        <v>514</v>
      </c>
      <c r="G220" s="40" t="str">
        <f t="shared" si="14"/>
        <v>OK</v>
      </c>
      <c r="H220" s="40">
        <f t="shared" si="15"/>
        <v>0</v>
      </c>
      <c r="I220" s="40">
        <f t="shared" si="16"/>
        <v>241</v>
      </c>
      <c r="J220" s="40">
        <f t="shared" si="17"/>
        <v>0</v>
      </c>
      <c r="K220" s="40"/>
      <c r="L220" s="42">
        <v>0.7727</v>
      </c>
      <c r="M220" s="42">
        <v>0.8421</v>
      </c>
      <c r="N220" s="42">
        <v>0.9091</v>
      </c>
      <c r="O220" s="42">
        <v>0.8182</v>
      </c>
      <c r="P220" s="42">
        <v>0.9091</v>
      </c>
      <c r="Q220" s="42">
        <v>0.6957</v>
      </c>
      <c r="R220" s="42">
        <v>0.7273</v>
      </c>
      <c r="S220" s="42">
        <v>0.8182</v>
      </c>
      <c r="T220" s="41">
        <v>0.8182</v>
      </c>
      <c r="U220" s="41">
        <v>0.7273</v>
      </c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37" t="s">
        <v>508</v>
      </c>
      <c r="B221" s="37" t="s">
        <v>243</v>
      </c>
      <c r="C221" s="37">
        <v>3.0</v>
      </c>
      <c r="D221" s="37">
        <v>1.5110624114E10</v>
      </c>
      <c r="E221" s="37">
        <v>2.40002002E8</v>
      </c>
      <c r="F221" s="37" t="s">
        <v>516</v>
      </c>
      <c r="G221" s="40" t="str">
        <f t="shared" si="14"/>
        <v>OK</v>
      </c>
      <c r="H221" s="40">
        <f t="shared" si="15"/>
        <v>2</v>
      </c>
      <c r="I221" s="40">
        <f t="shared" si="16"/>
        <v>245</v>
      </c>
      <c r="J221" s="40">
        <f t="shared" si="17"/>
        <v>0</v>
      </c>
      <c r="K221" s="40"/>
      <c r="L221" s="42">
        <v>0.7727</v>
      </c>
      <c r="M221" s="42">
        <v>0.7895</v>
      </c>
      <c r="N221" s="42">
        <v>0.8182</v>
      </c>
      <c r="O221" s="42">
        <v>0.7727</v>
      </c>
      <c r="P221" s="42">
        <v>0.8636</v>
      </c>
      <c r="Q221" s="42">
        <v>0.8696</v>
      </c>
      <c r="R221" s="42">
        <v>0.9091</v>
      </c>
      <c r="S221" s="42">
        <v>0.8182</v>
      </c>
      <c r="T221" s="41">
        <v>0.8182</v>
      </c>
      <c r="U221" s="41">
        <v>0.7273</v>
      </c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37" t="s">
        <v>508</v>
      </c>
      <c r="B222" s="37" t="s">
        <v>243</v>
      </c>
      <c r="C222" s="37">
        <v>4.0</v>
      </c>
      <c r="D222" s="37">
        <v>1.5110624087E10</v>
      </c>
      <c r="E222" s="37">
        <v>2.40002004E8</v>
      </c>
      <c r="F222" s="37" t="s">
        <v>518</v>
      </c>
      <c r="G222" s="40" t="str">
        <f t="shared" si="14"/>
        <v>Pending</v>
      </c>
      <c r="H222" s="40">
        <f t="shared" si="15"/>
        <v>-45</v>
      </c>
      <c r="I222" s="40">
        <f t="shared" si="16"/>
        <v>105</v>
      </c>
      <c r="J222" s="40">
        <f t="shared" si="17"/>
        <v>135</v>
      </c>
      <c r="K222" s="40"/>
      <c r="L222" s="42">
        <v>0.0909</v>
      </c>
      <c r="M222" s="42">
        <v>0.0</v>
      </c>
      <c r="N222" s="42">
        <v>0.5909</v>
      </c>
      <c r="O222" s="42">
        <v>0.7727</v>
      </c>
      <c r="P222" s="42">
        <v>0.7273</v>
      </c>
      <c r="Q222" s="42">
        <v>0.6957</v>
      </c>
      <c r="R222" s="42">
        <v>0.4091</v>
      </c>
      <c r="S222" s="42">
        <v>0.0</v>
      </c>
      <c r="T222" s="41">
        <v>0.1364</v>
      </c>
      <c r="U222" s="41">
        <v>0.0909</v>
      </c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37" t="s">
        <v>508</v>
      </c>
      <c r="B223" s="37" t="s">
        <v>243</v>
      </c>
      <c r="C223" s="37">
        <v>5.0</v>
      </c>
      <c r="D223" s="37">
        <v>1.5110624135E10</v>
      </c>
      <c r="E223" s="37">
        <v>2.40002005E8</v>
      </c>
      <c r="F223" s="37" t="s">
        <v>519</v>
      </c>
      <c r="G223" s="40" t="str">
        <f t="shared" si="14"/>
        <v>OK</v>
      </c>
      <c r="H223" s="40">
        <f t="shared" si="15"/>
        <v>6</v>
      </c>
      <c r="I223" s="40">
        <f t="shared" si="16"/>
        <v>258</v>
      </c>
      <c r="J223" s="40">
        <f t="shared" si="17"/>
        <v>0</v>
      </c>
      <c r="K223" s="40"/>
      <c r="L223" s="42">
        <v>1.0</v>
      </c>
      <c r="M223" s="42">
        <v>0.6316</v>
      </c>
      <c r="N223" s="42">
        <v>1.0</v>
      </c>
      <c r="O223" s="42">
        <v>0.6818</v>
      </c>
      <c r="P223" s="42">
        <v>0.7727</v>
      </c>
      <c r="Q223" s="42">
        <v>0.7391</v>
      </c>
      <c r="R223" s="42">
        <v>0.8182</v>
      </c>
      <c r="S223" s="42">
        <v>0.9545</v>
      </c>
      <c r="T223" s="41">
        <v>1.0</v>
      </c>
      <c r="U223" s="41">
        <v>1.0</v>
      </c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37" t="s">
        <v>508</v>
      </c>
      <c r="B224" s="37" t="s">
        <v>243</v>
      </c>
      <c r="C224" s="37">
        <v>6.0</v>
      </c>
      <c r="D224" s="37">
        <v>1.511062401E10</v>
      </c>
      <c r="E224" s="37">
        <v>2.40002006E8</v>
      </c>
      <c r="F224" s="37" t="s">
        <v>520</v>
      </c>
      <c r="G224" s="40" t="str">
        <f t="shared" si="14"/>
        <v>OK</v>
      </c>
      <c r="H224" s="40">
        <f t="shared" si="15"/>
        <v>8</v>
      </c>
      <c r="I224" s="40">
        <f t="shared" si="16"/>
        <v>264</v>
      </c>
      <c r="J224" s="40">
        <f t="shared" si="17"/>
        <v>0</v>
      </c>
      <c r="K224" s="40"/>
      <c r="L224" s="42">
        <v>0.5455</v>
      </c>
      <c r="M224" s="42">
        <v>0.9474</v>
      </c>
      <c r="N224" s="42">
        <v>0.9091</v>
      </c>
      <c r="O224" s="42">
        <v>0.9545</v>
      </c>
      <c r="P224" s="42">
        <v>0.9091</v>
      </c>
      <c r="Q224" s="42">
        <v>0.913</v>
      </c>
      <c r="R224" s="42">
        <v>0.9545</v>
      </c>
      <c r="S224" s="42">
        <v>0.8636</v>
      </c>
      <c r="T224" s="41">
        <v>0.9091</v>
      </c>
      <c r="U224" s="41">
        <v>0.9091</v>
      </c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37" t="s">
        <v>508</v>
      </c>
      <c r="B225" s="37" t="s">
        <v>243</v>
      </c>
      <c r="C225" s="37">
        <v>7.0</v>
      </c>
      <c r="D225" s="37">
        <v>1.5110624009E10</v>
      </c>
      <c r="E225" s="37">
        <v>2.40002009E8</v>
      </c>
      <c r="F225" s="37" t="s">
        <v>521</v>
      </c>
      <c r="G225" s="40" t="str">
        <f t="shared" si="14"/>
        <v>OK</v>
      </c>
      <c r="H225" s="40">
        <f t="shared" si="15"/>
        <v>11</v>
      </c>
      <c r="I225" s="40">
        <f t="shared" si="16"/>
        <v>274</v>
      </c>
      <c r="J225" s="40">
        <f t="shared" si="17"/>
        <v>0</v>
      </c>
      <c r="K225" s="40"/>
      <c r="L225" s="42">
        <v>0.9091</v>
      </c>
      <c r="M225" s="42">
        <v>0.9474</v>
      </c>
      <c r="N225" s="42">
        <v>1.0</v>
      </c>
      <c r="O225" s="42">
        <v>0.9545</v>
      </c>
      <c r="P225" s="42">
        <v>0.9091</v>
      </c>
      <c r="Q225" s="42">
        <v>0.913</v>
      </c>
      <c r="R225" s="42">
        <v>0.9545</v>
      </c>
      <c r="S225" s="42">
        <v>0.8636</v>
      </c>
      <c r="T225" s="41">
        <v>0.8182</v>
      </c>
      <c r="U225" s="41">
        <v>0.8636</v>
      </c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37" t="s">
        <v>508</v>
      </c>
      <c r="B226" s="37" t="s">
        <v>243</v>
      </c>
      <c r="C226" s="37">
        <v>8.0</v>
      </c>
      <c r="D226" s="37">
        <v>1.5110624133E10</v>
      </c>
      <c r="E226" s="37">
        <v>2.4000201E8</v>
      </c>
      <c r="F226" s="37" t="s">
        <v>522</v>
      </c>
      <c r="G226" s="40" t="str">
        <f t="shared" si="14"/>
        <v>OK</v>
      </c>
      <c r="H226" s="40">
        <f t="shared" si="15"/>
        <v>12</v>
      </c>
      <c r="I226" s="40">
        <f t="shared" si="16"/>
        <v>277</v>
      </c>
      <c r="J226" s="40">
        <f t="shared" si="17"/>
        <v>0</v>
      </c>
      <c r="K226" s="40"/>
      <c r="L226" s="42">
        <v>0.7727</v>
      </c>
      <c r="M226" s="42">
        <v>1.0</v>
      </c>
      <c r="N226" s="42">
        <v>1.0</v>
      </c>
      <c r="O226" s="42">
        <v>1.0</v>
      </c>
      <c r="P226" s="42">
        <v>0.9545</v>
      </c>
      <c r="Q226" s="42">
        <v>0.5652</v>
      </c>
      <c r="R226" s="42">
        <v>0.9545</v>
      </c>
      <c r="S226" s="42">
        <v>1.0</v>
      </c>
      <c r="T226" s="41">
        <v>1.0</v>
      </c>
      <c r="U226" s="41">
        <v>1.0</v>
      </c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37" t="s">
        <v>508</v>
      </c>
      <c r="B227" s="37" t="s">
        <v>243</v>
      </c>
      <c r="C227" s="37">
        <v>9.0</v>
      </c>
      <c r="D227" s="37">
        <v>1.5110624183E10</v>
      </c>
      <c r="E227" s="37">
        <v>2.40002011E8</v>
      </c>
      <c r="F227" s="37" t="s">
        <v>523</v>
      </c>
      <c r="G227" s="40" t="str">
        <f t="shared" si="14"/>
        <v>OK</v>
      </c>
      <c r="H227" s="40">
        <f t="shared" si="15"/>
        <v>3</v>
      </c>
      <c r="I227" s="40">
        <f t="shared" si="16"/>
        <v>249</v>
      </c>
      <c r="J227" s="40">
        <f t="shared" si="17"/>
        <v>0</v>
      </c>
      <c r="K227" s="40"/>
      <c r="L227" s="42">
        <v>0.8636</v>
      </c>
      <c r="M227" s="42">
        <v>0.8421</v>
      </c>
      <c r="N227" s="42">
        <v>0.9545</v>
      </c>
      <c r="O227" s="42">
        <v>0.9091</v>
      </c>
      <c r="P227" s="42">
        <v>0.6818</v>
      </c>
      <c r="Q227" s="42">
        <v>0.8261</v>
      </c>
      <c r="R227" s="42">
        <v>0.9091</v>
      </c>
      <c r="S227" s="42">
        <v>0.7273</v>
      </c>
      <c r="T227" s="41">
        <v>0.7273</v>
      </c>
      <c r="U227" s="41">
        <v>0.8636</v>
      </c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37" t="s">
        <v>508</v>
      </c>
      <c r="B228" s="37" t="s">
        <v>243</v>
      </c>
      <c r="C228" s="37">
        <v>10.0</v>
      </c>
      <c r="D228" s="37">
        <v>1.51106241E10</v>
      </c>
      <c r="E228" s="37">
        <v>2.40002013E8</v>
      </c>
      <c r="F228" s="37" t="s">
        <v>525</v>
      </c>
      <c r="G228" s="40" t="str">
        <f t="shared" si="14"/>
        <v>OK</v>
      </c>
      <c r="H228" s="40">
        <f t="shared" si="15"/>
        <v>0</v>
      </c>
      <c r="I228" s="40">
        <f t="shared" si="16"/>
        <v>240</v>
      </c>
      <c r="J228" s="40">
        <f t="shared" si="17"/>
        <v>0</v>
      </c>
      <c r="K228" s="40"/>
      <c r="L228" s="42">
        <v>0.4091</v>
      </c>
      <c r="M228" s="42">
        <v>0.8947</v>
      </c>
      <c r="N228" s="42">
        <v>0.8182</v>
      </c>
      <c r="O228" s="42">
        <v>0.9091</v>
      </c>
      <c r="P228" s="42">
        <v>0.7727</v>
      </c>
      <c r="Q228" s="42">
        <v>0.7826</v>
      </c>
      <c r="R228" s="42">
        <v>0.7727</v>
      </c>
      <c r="S228" s="42">
        <v>0.9091</v>
      </c>
      <c r="T228" s="41">
        <v>0.7727</v>
      </c>
      <c r="U228" s="41">
        <v>0.9545</v>
      </c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37" t="s">
        <v>508</v>
      </c>
      <c r="B229" s="37" t="s">
        <v>243</v>
      </c>
      <c r="C229" s="37">
        <v>11.0</v>
      </c>
      <c r="D229" s="37">
        <v>1.5110624131E10</v>
      </c>
      <c r="E229" s="37">
        <v>2.40002015E8</v>
      </c>
      <c r="F229" s="37" t="s">
        <v>527</v>
      </c>
      <c r="G229" s="40" t="str">
        <f t="shared" si="14"/>
        <v>OK</v>
      </c>
      <c r="H229" s="40">
        <f t="shared" si="15"/>
        <v>0</v>
      </c>
      <c r="I229" s="40">
        <f t="shared" si="16"/>
        <v>241</v>
      </c>
      <c r="J229" s="40">
        <f t="shared" si="17"/>
        <v>0</v>
      </c>
      <c r="K229" s="40"/>
      <c r="L229" s="42">
        <v>0.7273</v>
      </c>
      <c r="M229" s="42">
        <v>0.8421</v>
      </c>
      <c r="N229" s="42">
        <v>1.0</v>
      </c>
      <c r="O229" s="42">
        <v>0.7273</v>
      </c>
      <c r="P229" s="42">
        <v>0.7727</v>
      </c>
      <c r="Q229" s="42">
        <v>0.8696</v>
      </c>
      <c r="R229" s="42">
        <v>0.7727</v>
      </c>
      <c r="S229" s="42">
        <v>0.7273</v>
      </c>
      <c r="T229" s="41">
        <v>0.7273</v>
      </c>
      <c r="U229" s="41">
        <v>0.8636</v>
      </c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37" t="s">
        <v>508</v>
      </c>
      <c r="B230" s="37" t="s">
        <v>243</v>
      </c>
      <c r="C230" s="37">
        <v>12.0</v>
      </c>
      <c r="D230" s="37">
        <v>1.5110624053E10</v>
      </c>
      <c r="E230" s="37">
        <v>2.40002016E8</v>
      </c>
      <c r="F230" s="37" t="s">
        <v>529</v>
      </c>
      <c r="G230" s="40" t="str">
        <f t="shared" si="14"/>
        <v>Pending</v>
      </c>
      <c r="H230" s="40">
        <f t="shared" si="15"/>
        <v>-4</v>
      </c>
      <c r="I230" s="40">
        <f t="shared" si="16"/>
        <v>228</v>
      </c>
      <c r="J230" s="40">
        <f t="shared" si="17"/>
        <v>12</v>
      </c>
      <c r="K230" s="40"/>
      <c r="L230" s="42">
        <v>0.7727</v>
      </c>
      <c r="M230" s="42">
        <v>0.5789</v>
      </c>
      <c r="N230" s="42">
        <v>0.5909</v>
      </c>
      <c r="O230" s="42">
        <v>0.4091</v>
      </c>
      <c r="P230" s="42">
        <v>0.8182</v>
      </c>
      <c r="Q230" s="42">
        <v>0.6522</v>
      </c>
      <c r="R230" s="42">
        <v>1.0</v>
      </c>
      <c r="S230" s="42">
        <v>0.7727</v>
      </c>
      <c r="T230" s="41">
        <v>1.0</v>
      </c>
      <c r="U230" s="41">
        <v>1.0</v>
      </c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37" t="s">
        <v>508</v>
      </c>
      <c r="B231" s="37" t="s">
        <v>243</v>
      </c>
      <c r="C231" s="37">
        <v>13.0</v>
      </c>
      <c r="D231" s="37">
        <v>1.5110624015E10</v>
      </c>
      <c r="E231" s="37">
        <v>2.40002017E8</v>
      </c>
      <c r="F231" s="37" t="s">
        <v>531</v>
      </c>
      <c r="G231" s="40" t="str">
        <f t="shared" si="14"/>
        <v>Pending</v>
      </c>
      <c r="H231" s="40">
        <f t="shared" si="15"/>
        <v>-32</v>
      </c>
      <c r="I231" s="40">
        <f t="shared" si="16"/>
        <v>143</v>
      </c>
      <c r="J231" s="40">
        <f t="shared" si="17"/>
        <v>97</v>
      </c>
      <c r="K231" s="40"/>
      <c r="L231" s="42">
        <v>0.0455</v>
      </c>
      <c r="M231" s="42">
        <v>0.7368</v>
      </c>
      <c r="N231" s="42">
        <v>0.5909</v>
      </c>
      <c r="O231" s="42">
        <v>0.6818</v>
      </c>
      <c r="P231" s="42">
        <v>0.5455</v>
      </c>
      <c r="Q231" s="42">
        <v>0.5652</v>
      </c>
      <c r="R231" s="42">
        <v>0.5909</v>
      </c>
      <c r="S231" s="42">
        <v>0.1818</v>
      </c>
      <c r="T231" s="41">
        <v>0.2727</v>
      </c>
      <c r="U231" s="41">
        <v>0.5455</v>
      </c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37" t="s">
        <v>508</v>
      </c>
      <c r="B232" s="37" t="s">
        <v>243</v>
      </c>
      <c r="C232" s="37">
        <v>14.0</v>
      </c>
      <c r="D232" s="37">
        <v>1.5110624077E10</v>
      </c>
      <c r="E232" s="37">
        <v>2.40002018E8</v>
      </c>
      <c r="F232" s="37" t="s">
        <v>533</v>
      </c>
      <c r="G232" s="40" t="str">
        <f t="shared" si="14"/>
        <v>OK</v>
      </c>
      <c r="H232" s="40">
        <f t="shared" si="15"/>
        <v>3</v>
      </c>
      <c r="I232" s="40">
        <f t="shared" si="16"/>
        <v>249</v>
      </c>
      <c r="J232" s="40">
        <f t="shared" si="17"/>
        <v>0</v>
      </c>
      <c r="K232" s="40"/>
      <c r="L232" s="42">
        <v>0.7727</v>
      </c>
      <c r="M232" s="42">
        <v>0.8947</v>
      </c>
      <c r="N232" s="42">
        <v>0.9091</v>
      </c>
      <c r="O232" s="42">
        <v>0.9545</v>
      </c>
      <c r="P232" s="42">
        <v>0.5909</v>
      </c>
      <c r="Q232" s="42">
        <v>0.8696</v>
      </c>
      <c r="R232" s="42">
        <v>0.9545</v>
      </c>
      <c r="S232" s="42">
        <v>0.5455</v>
      </c>
      <c r="T232" s="41">
        <v>0.9091</v>
      </c>
      <c r="U232" s="41">
        <v>0.9091</v>
      </c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37" t="s">
        <v>508</v>
      </c>
      <c r="B233" s="37" t="s">
        <v>243</v>
      </c>
      <c r="C233" s="37">
        <v>15.0</v>
      </c>
      <c r="D233" s="37">
        <v>1.5110624155E10</v>
      </c>
      <c r="E233" s="37">
        <v>2.40002019E8</v>
      </c>
      <c r="F233" s="37" t="s">
        <v>535</v>
      </c>
      <c r="G233" s="40" t="str">
        <f t="shared" si="14"/>
        <v>Pending</v>
      </c>
      <c r="H233" s="40">
        <f t="shared" si="15"/>
        <v>-16</v>
      </c>
      <c r="I233" s="40">
        <f t="shared" si="16"/>
        <v>193</v>
      </c>
      <c r="J233" s="40">
        <f t="shared" si="17"/>
        <v>47</v>
      </c>
      <c r="K233" s="40"/>
      <c r="L233" s="42">
        <v>0.8182</v>
      </c>
      <c r="M233" s="42">
        <v>1.0</v>
      </c>
      <c r="N233" s="42">
        <v>0.7273</v>
      </c>
      <c r="O233" s="42">
        <v>0.6364</v>
      </c>
      <c r="P233" s="42">
        <v>0.7273</v>
      </c>
      <c r="Q233" s="42">
        <v>0.4783</v>
      </c>
      <c r="R233" s="42">
        <v>0.9545</v>
      </c>
      <c r="S233" s="42">
        <v>0.2273</v>
      </c>
      <c r="T233" s="41">
        <v>0.3636</v>
      </c>
      <c r="U233" s="41">
        <v>0.5</v>
      </c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37" t="s">
        <v>508</v>
      </c>
      <c r="B234" s="37" t="s">
        <v>243</v>
      </c>
      <c r="C234" s="37">
        <v>16.0</v>
      </c>
      <c r="D234" s="37">
        <v>1.5110624024E10</v>
      </c>
      <c r="E234" s="37">
        <v>2.40002021E8</v>
      </c>
      <c r="F234" s="37" t="s">
        <v>538</v>
      </c>
      <c r="G234" s="40" t="str">
        <f t="shared" si="14"/>
        <v>Pending</v>
      </c>
      <c r="H234" s="40">
        <f t="shared" si="15"/>
        <v>-1</v>
      </c>
      <c r="I234" s="40">
        <f t="shared" si="16"/>
        <v>237</v>
      </c>
      <c r="J234" s="40">
        <f t="shared" si="17"/>
        <v>3</v>
      </c>
      <c r="K234" s="40"/>
      <c r="L234" s="42">
        <v>0.0455</v>
      </c>
      <c r="M234" s="42">
        <v>0.8421</v>
      </c>
      <c r="N234" s="42">
        <v>0.9091</v>
      </c>
      <c r="O234" s="42">
        <v>0.8636</v>
      </c>
      <c r="P234" s="42">
        <v>0.7727</v>
      </c>
      <c r="Q234" s="42">
        <v>1.0</v>
      </c>
      <c r="R234" s="42">
        <v>0.7727</v>
      </c>
      <c r="S234" s="42">
        <v>0.9091</v>
      </c>
      <c r="T234" s="41">
        <v>0.8182</v>
      </c>
      <c r="U234" s="41">
        <v>0.9545</v>
      </c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37" t="s">
        <v>508</v>
      </c>
      <c r="B235" s="37" t="s">
        <v>243</v>
      </c>
      <c r="C235" s="37">
        <v>17.0</v>
      </c>
      <c r="D235" s="37">
        <v>1.5110624012E10</v>
      </c>
      <c r="E235" s="37">
        <v>2.40002023E8</v>
      </c>
      <c r="F235" s="37" t="s">
        <v>540</v>
      </c>
      <c r="G235" s="40" t="str">
        <f t="shared" si="14"/>
        <v>OK</v>
      </c>
      <c r="H235" s="40">
        <f t="shared" si="15"/>
        <v>5</v>
      </c>
      <c r="I235" s="40">
        <f t="shared" si="16"/>
        <v>256</v>
      </c>
      <c r="J235" s="40">
        <f t="shared" si="17"/>
        <v>0</v>
      </c>
      <c r="K235" s="40"/>
      <c r="L235" s="42">
        <v>0.7273</v>
      </c>
      <c r="M235" s="42">
        <v>0.9474</v>
      </c>
      <c r="N235" s="42">
        <v>0.6818</v>
      </c>
      <c r="O235" s="42">
        <v>0.9545</v>
      </c>
      <c r="P235" s="42">
        <v>0.8182</v>
      </c>
      <c r="Q235" s="42">
        <v>0.8261</v>
      </c>
      <c r="R235" s="42">
        <v>0.8636</v>
      </c>
      <c r="S235" s="42">
        <v>0.7273</v>
      </c>
      <c r="T235" s="41">
        <v>1.0</v>
      </c>
      <c r="U235" s="41">
        <v>1.0</v>
      </c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37" t="s">
        <v>508</v>
      </c>
      <c r="B236" s="37" t="s">
        <v>243</v>
      </c>
      <c r="C236" s="37">
        <v>18.0</v>
      </c>
      <c r="D236" s="37">
        <v>1.5110624144E10</v>
      </c>
      <c r="E236" s="37">
        <v>2.40002024E8</v>
      </c>
      <c r="F236" s="37" t="s">
        <v>542</v>
      </c>
      <c r="G236" s="40" t="str">
        <f t="shared" si="14"/>
        <v>OK</v>
      </c>
      <c r="H236" s="40">
        <f t="shared" si="15"/>
        <v>2</v>
      </c>
      <c r="I236" s="40">
        <f t="shared" si="16"/>
        <v>246</v>
      </c>
      <c r="J236" s="40">
        <f t="shared" si="17"/>
        <v>0</v>
      </c>
      <c r="K236" s="40"/>
      <c r="L236" s="42">
        <v>1.0</v>
      </c>
      <c r="M236" s="42">
        <v>0.7895</v>
      </c>
      <c r="N236" s="42">
        <v>0.9091</v>
      </c>
      <c r="O236" s="42">
        <v>0.7727</v>
      </c>
      <c r="P236" s="42">
        <v>0.6364</v>
      </c>
      <c r="Q236" s="42">
        <v>0.8696</v>
      </c>
      <c r="R236" s="42">
        <v>0.9091</v>
      </c>
      <c r="S236" s="42">
        <v>0.8182</v>
      </c>
      <c r="T236" s="41">
        <v>0.8182</v>
      </c>
      <c r="U236" s="41">
        <v>0.6818</v>
      </c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37" t="s">
        <v>508</v>
      </c>
      <c r="B237" s="37" t="s">
        <v>243</v>
      </c>
      <c r="C237" s="37">
        <v>19.0</v>
      </c>
      <c r="D237" s="37">
        <v>1.5110624178E10</v>
      </c>
      <c r="E237" s="37">
        <v>2.40002025E8</v>
      </c>
      <c r="F237" s="37" t="s">
        <v>544</v>
      </c>
      <c r="G237" s="40" t="str">
        <f t="shared" si="14"/>
        <v>Pending</v>
      </c>
      <c r="H237" s="40">
        <f t="shared" si="15"/>
        <v>-37</v>
      </c>
      <c r="I237" s="40">
        <f t="shared" si="16"/>
        <v>129</v>
      </c>
      <c r="J237" s="40">
        <f t="shared" si="17"/>
        <v>111</v>
      </c>
      <c r="K237" s="40"/>
      <c r="L237" s="42">
        <v>0.0909</v>
      </c>
      <c r="M237" s="42">
        <v>0.3158</v>
      </c>
      <c r="N237" s="42">
        <v>0.2273</v>
      </c>
      <c r="O237" s="42">
        <v>0.3182</v>
      </c>
      <c r="P237" s="42">
        <v>0.5</v>
      </c>
      <c r="Q237" s="42">
        <v>0.6957</v>
      </c>
      <c r="R237" s="42">
        <v>0.8636</v>
      </c>
      <c r="S237" s="42">
        <v>0.0</v>
      </c>
      <c r="T237" s="41">
        <v>0.4545</v>
      </c>
      <c r="U237" s="41">
        <v>0.8182</v>
      </c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37" t="s">
        <v>508</v>
      </c>
      <c r="B238" s="37" t="s">
        <v>243</v>
      </c>
      <c r="C238" s="37">
        <v>20.0</v>
      </c>
      <c r="D238" s="37">
        <v>1.5110624038E10</v>
      </c>
      <c r="E238" s="37">
        <v>2.40002027E8</v>
      </c>
      <c r="F238" s="37" t="s">
        <v>546</v>
      </c>
      <c r="G238" s="40" t="str">
        <f t="shared" si="14"/>
        <v>OK</v>
      </c>
      <c r="H238" s="40">
        <f t="shared" si="15"/>
        <v>5</v>
      </c>
      <c r="I238" s="40">
        <f t="shared" si="16"/>
        <v>254</v>
      </c>
      <c r="J238" s="40">
        <f t="shared" si="17"/>
        <v>0</v>
      </c>
      <c r="K238" s="40"/>
      <c r="L238" s="42">
        <v>1.0</v>
      </c>
      <c r="M238" s="42">
        <v>0.7895</v>
      </c>
      <c r="N238" s="42">
        <v>0.8182</v>
      </c>
      <c r="O238" s="42">
        <v>0.6364</v>
      </c>
      <c r="P238" s="42">
        <v>0.9091</v>
      </c>
      <c r="Q238" s="42">
        <v>0.8261</v>
      </c>
      <c r="R238" s="42">
        <v>1.0</v>
      </c>
      <c r="S238" s="42">
        <v>0.9545</v>
      </c>
      <c r="T238" s="41">
        <v>0.6818</v>
      </c>
      <c r="U238" s="41">
        <v>0.8636</v>
      </c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37" t="s">
        <v>508</v>
      </c>
      <c r="B239" s="37" t="s">
        <v>243</v>
      </c>
      <c r="C239" s="37">
        <v>21.0</v>
      </c>
      <c r="D239" s="37">
        <v>1.5110624182E10</v>
      </c>
      <c r="E239" s="37">
        <v>2.40002028E8</v>
      </c>
      <c r="F239" s="37" t="s">
        <v>548</v>
      </c>
      <c r="G239" s="40" t="str">
        <f t="shared" si="14"/>
        <v>Pending</v>
      </c>
      <c r="H239" s="40">
        <f t="shared" si="15"/>
        <v>-11</v>
      </c>
      <c r="I239" s="40">
        <f t="shared" si="16"/>
        <v>208</v>
      </c>
      <c r="J239" s="40">
        <f t="shared" si="17"/>
        <v>32</v>
      </c>
      <c r="K239" s="40"/>
      <c r="L239" s="42">
        <v>1.0</v>
      </c>
      <c r="M239" s="42">
        <v>1.0</v>
      </c>
      <c r="N239" s="42">
        <v>0.6818</v>
      </c>
      <c r="O239" s="42">
        <v>0.4545</v>
      </c>
      <c r="P239" s="42">
        <v>0.5</v>
      </c>
      <c r="Q239" s="42">
        <v>0.6087</v>
      </c>
      <c r="R239" s="42">
        <v>1.0</v>
      </c>
      <c r="S239" s="42">
        <v>0.5455</v>
      </c>
      <c r="T239" s="41">
        <v>0.5909</v>
      </c>
      <c r="U239" s="41">
        <v>0.5455</v>
      </c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37" t="s">
        <v>508</v>
      </c>
      <c r="B240" s="37" t="s">
        <v>243</v>
      </c>
      <c r="C240" s="37">
        <v>22.0</v>
      </c>
      <c r="D240" s="37">
        <v>1.5110624153E10</v>
      </c>
      <c r="E240" s="37">
        <v>2.40002029E8</v>
      </c>
      <c r="F240" s="37" t="s">
        <v>550</v>
      </c>
      <c r="G240" s="40" t="str">
        <f t="shared" si="14"/>
        <v>OK</v>
      </c>
      <c r="H240" s="40">
        <f t="shared" si="15"/>
        <v>13</v>
      </c>
      <c r="I240" s="40">
        <f t="shared" si="16"/>
        <v>280</v>
      </c>
      <c r="J240" s="40">
        <f t="shared" si="17"/>
        <v>0</v>
      </c>
      <c r="K240" s="40"/>
      <c r="L240" s="42">
        <v>0.8182</v>
      </c>
      <c r="M240" s="42">
        <v>1.0</v>
      </c>
      <c r="N240" s="42">
        <v>0.9091</v>
      </c>
      <c r="O240" s="42">
        <v>0.8182</v>
      </c>
      <c r="P240" s="42">
        <v>1.0</v>
      </c>
      <c r="Q240" s="42">
        <v>0.8696</v>
      </c>
      <c r="R240" s="42">
        <v>1.0</v>
      </c>
      <c r="S240" s="42">
        <v>1.0</v>
      </c>
      <c r="T240" s="41">
        <v>0.9091</v>
      </c>
      <c r="U240" s="41">
        <v>1.0</v>
      </c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37" t="s">
        <v>508</v>
      </c>
      <c r="B241" s="37" t="s">
        <v>243</v>
      </c>
      <c r="C241" s="37">
        <v>23.0</v>
      </c>
      <c r="D241" s="37">
        <v>1.511062414E10</v>
      </c>
      <c r="E241" s="37">
        <v>2.4000203E8</v>
      </c>
      <c r="F241" s="37" t="s">
        <v>552</v>
      </c>
      <c r="G241" s="40" t="str">
        <f t="shared" si="14"/>
        <v>Pending</v>
      </c>
      <c r="H241" s="40">
        <f t="shared" si="15"/>
        <v>-19</v>
      </c>
      <c r="I241" s="40">
        <f t="shared" si="16"/>
        <v>182</v>
      </c>
      <c r="J241" s="40">
        <f t="shared" si="17"/>
        <v>58</v>
      </c>
      <c r="K241" s="40"/>
      <c r="L241" s="42">
        <v>0.0455</v>
      </c>
      <c r="M241" s="42">
        <v>0.2632</v>
      </c>
      <c r="N241" s="42">
        <v>0.8636</v>
      </c>
      <c r="O241" s="42">
        <v>0.8636</v>
      </c>
      <c r="P241" s="42">
        <v>0.5</v>
      </c>
      <c r="Q241" s="42">
        <v>0.6522</v>
      </c>
      <c r="R241" s="42">
        <v>0.6818</v>
      </c>
      <c r="S241" s="42">
        <v>0.6818</v>
      </c>
      <c r="T241" s="41">
        <v>0.7273</v>
      </c>
      <c r="U241" s="41">
        <v>0.7727</v>
      </c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37" t="s">
        <v>508</v>
      </c>
      <c r="B242" s="37" t="s">
        <v>243</v>
      </c>
      <c r="C242" s="37">
        <v>24.0</v>
      </c>
      <c r="D242" s="37">
        <v>1.5110624166E10</v>
      </c>
      <c r="E242" s="37">
        <v>2.40002031E8</v>
      </c>
      <c r="F242" s="37" t="s">
        <v>554</v>
      </c>
      <c r="G242" s="40" t="str">
        <f t="shared" si="14"/>
        <v>OK</v>
      </c>
      <c r="H242" s="40">
        <f t="shared" si="15"/>
        <v>8</v>
      </c>
      <c r="I242" s="40">
        <f t="shared" si="16"/>
        <v>264</v>
      </c>
      <c r="J242" s="40">
        <f t="shared" si="17"/>
        <v>0</v>
      </c>
      <c r="K242" s="40"/>
      <c r="L242" s="42">
        <v>0.8182</v>
      </c>
      <c r="M242" s="42">
        <v>0.8947</v>
      </c>
      <c r="N242" s="42">
        <v>0.8636</v>
      </c>
      <c r="O242" s="42">
        <v>0.9091</v>
      </c>
      <c r="P242" s="42">
        <v>0.7727</v>
      </c>
      <c r="Q242" s="42">
        <v>0.913</v>
      </c>
      <c r="R242" s="42">
        <v>1.0</v>
      </c>
      <c r="S242" s="42">
        <v>0.7727</v>
      </c>
      <c r="T242" s="41">
        <v>0.9091</v>
      </c>
      <c r="U242" s="41">
        <v>0.9545</v>
      </c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37" t="s">
        <v>508</v>
      </c>
      <c r="B243" s="37" t="s">
        <v>243</v>
      </c>
      <c r="C243" s="37">
        <v>25.0</v>
      </c>
      <c r="D243" s="37">
        <v>1.5110624137E10</v>
      </c>
      <c r="E243" s="37">
        <v>2.40002032E8</v>
      </c>
      <c r="F243" s="37" t="s">
        <v>556</v>
      </c>
      <c r="G243" s="40" t="str">
        <f t="shared" si="14"/>
        <v>Pending</v>
      </c>
      <c r="H243" s="40">
        <f t="shared" si="15"/>
        <v>-12</v>
      </c>
      <c r="I243" s="40">
        <f t="shared" si="16"/>
        <v>205</v>
      </c>
      <c r="J243" s="40">
        <f t="shared" si="17"/>
        <v>35</v>
      </c>
      <c r="K243" s="40"/>
      <c r="L243" s="42">
        <v>0.0455</v>
      </c>
      <c r="M243" s="42">
        <v>0.0526</v>
      </c>
      <c r="N243" s="42">
        <v>0.9091</v>
      </c>
      <c r="O243" s="42">
        <v>0.9545</v>
      </c>
      <c r="P243" s="42">
        <v>0.8182</v>
      </c>
      <c r="Q243" s="42">
        <v>0.8261</v>
      </c>
      <c r="R243" s="42">
        <v>0.7727</v>
      </c>
      <c r="S243" s="42">
        <v>1.0</v>
      </c>
      <c r="T243" s="41">
        <v>0.7727</v>
      </c>
      <c r="U243" s="41">
        <v>0.6818</v>
      </c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5.75" customHeight="1">
      <c r="A244" s="37" t="s">
        <v>508</v>
      </c>
      <c r="B244" s="37" t="s">
        <v>243</v>
      </c>
      <c r="C244" s="37">
        <v>26.0</v>
      </c>
      <c r="D244" s="37">
        <v>1.5110624049E10</v>
      </c>
      <c r="E244" s="37">
        <v>2.40002033E8</v>
      </c>
      <c r="F244" s="37" t="s">
        <v>558</v>
      </c>
      <c r="G244" s="40" t="str">
        <f t="shared" si="14"/>
        <v>Pending</v>
      </c>
      <c r="H244" s="40">
        <f t="shared" si="15"/>
        <v>-9</v>
      </c>
      <c r="I244" s="40">
        <f t="shared" si="16"/>
        <v>214</v>
      </c>
      <c r="J244" s="40">
        <f t="shared" si="17"/>
        <v>26</v>
      </c>
      <c r="K244" s="40"/>
      <c r="L244" s="42">
        <v>0.6364</v>
      </c>
      <c r="M244" s="42">
        <v>0.7895</v>
      </c>
      <c r="N244" s="42">
        <v>0.8636</v>
      </c>
      <c r="O244" s="42">
        <v>0.7727</v>
      </c>
      <c r="P244" s="42">
        <v>0.6818</v>
      </c>
      <c r="Q244" s="42">
        <v>0.7826</v>
      </c>
      <c r="R244" s="42">
        <v>0.5455</v>
      </c>
      <c r="S244" s="42">
        <v>0.7273</v>
      </c>
      <c r="T244" s="41">
        <v>0.5455</v>
      </c>
      <c r="U244" s="41">
        <v>0.7727</v>
      </c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5.75" customHeight="1">
      <c r="A245" s="37" t="s">
        <v>508</v>
      </c>
      <c r="B245" s="37" t="s">
        <v>243</v>
      </c>
      <c r="C245" s="37">
        <v>27.0</v>
      </c>
      <c r="D245" s="37">
        <v>1.5110624116E10</v>
      </c>
      <c r="E245" s="37">
        <v>2.40002034E8</v>
      </c>
      <c r="F245" s="37" t="s">
        <v>560</v>
      </c>
      <c r="G245" s="40" t="str">
        <f t="shared" si="14"/>
        <v>Pending</v>
      </c>
      <c r="H245" s="40">
        <f t="shared" si="15"/>
        <v>-7</v>
      </c>
      <c r="I245" s="40">
        <f t="shared" si="16"/>
        <v>218</v>
      </c>
      <c r="J245" s="40">
        <f t="shared" si="17"/>
        <v>22</v>
      </c>
      <c r="K245" s="40"/>
      <c r="L245" s="42">
        <v>0.6364</v>
      </c>
      <c r="M245" s="42">
        <v>0.9474</v>
      </c>
      <c r="N245" s="42">
        <v>1.0</v>
      </c>
      <c r="O245" s="42">
        <v>0.9545</v>
      </c>
      <c r="P245" s="42">
        <v>0.8182</v>
      </c>
      <c r="Q245" s="42">
        <v>0.9565</v>
      </c>
      <c r="R245" s="42">
        <v>0.8636</v>
      </c>
      <c r="S245" s="42">
        <v>0.0</v>
      </c>
      <c r="T245" s="41">
        <v>0.1364</v>
      </c>
      <c r="U245" s="41">
        <v>0.9545</v>
      </c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5.75" customHeight="1">
      <c r="A246" s="37" t="s">
        <v>508</v>
      </c>
      <c r="B246" s="37" t="s">
        <v>243</v>
      </c>
      <c r="C246" s="37">
        <v>28.0</v>
      </c>
      <c r="D246" s="37">
        <v>1.5110624184E10</v>
      </c>
      <c r="E246" s="37">
        <v>2.40002038E8</v>
      </c>
      <c r="F246" s="37" t="s">
        <v>561</v>
      </c>
      <c r="G246" s="40" t="str">
        <f t="shared" si="14"/>
        <v>OK</v>
      </c>
      <c r="H246" s="40">
        <f t="shared" si="15"/>
        <v>17</v>
      </c>
      <c r="I246" s="40">
        <f t="shared" si="16"/>
        <v>292</v>
      </c>
      <c r="J246" s="40">
        <f t="shared" si="17"/>
        <v>0</v>
      </c>
      <c r="K246" s="40"/>
      <c r="L246" s="42">
        <v>0.8182</v>
      </c>
      <c r="M246" s="42">
        <v>1.0</v>
      </c>
      <c r="N246" s="42">
        <v>1.0</v>
      </c>
      <c r="O246" s="42">
        <v>1.0</v>
      </c>
      <c r="P246" s="42">
        <v>1.0</v>
      </c>
      <c r="Q246" s="42">
        <v>1.0</v>
      </c>
      <c r="R246" s="42">
        <v>1.0</v>
      </c>
      <c r="S246" s="42">
        <v>1.0</v>
      </c>
      <c r="T246" s="41">
        <v>0.9091</v>
      </c>
      <c r="U246" s="41">
        <v>1.0</v>
      </c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5.75" customHeight="1">
      <c r="A247" s="37" t="s">
        <v>508</v>
      </c>
      <c r="B247" s="37" t="s">
        <v>243</v>
      </c>
      <c r="C247" s="37">
        <v>29.0</v>
      </c>
      <c r="D247" s="37">
        <v>1.5110624185E10</v>
      </c>
      <c r="E247" s="37">
        <v>2.4000204E8</v>
      </c>
      <c r="F247" s="37" t="s">
        <v>562</v>
      </c>
      <c r="G247" s="40" t="str">
        <f t="shared" si="14"/>
        <v>Pending</v>
      </c>
      <c r="H247" s="40">
        <f t="shared" si="15"/>
        <v>-72</v>
      </c>
      <c r="I247" s="40">
        <f t="shared" si="16"/>
        <v>24</v>
      </c>
      <c r="J247" s="40">
        <f t="shared" si="17"/>
        <v>216</v>
      </c>
      <c r="K247" s="40"/>
      <c r="L247" s="42">
        <v>0.3182</v>
      </c>
      <c r="M247" s="42">
        <v>0.3158</v>
      </c>
      <c r="N247" s="42">
        <v>0.1818</v>
      </c>
      <c r="O247" s="42">
        <v>0.0</v>
      </c>
      <c r="P247" s="42">
        <v>0.0</v>
      </c>
      <c r="Q247" s="42">
        <v>0.0</v>
      </c>
      <c r="R247" s="42">
        <v>0.0</v>
      </c>
      <c r="S247" s="42">
        <v>0.0</v>
      </c>
      <c r="T247" s="41">
        <v>0.0</v>
      </c>
      <c r="U247" s="41">
        <v>0.0</v>
      </c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5.75" customHeight="1">
      <c r="A248" s="37" t="s">
        <v>508</v>
      </c>
      <c r="B248" s="37" t="s">
        <v>243</v>
      </c>
      <c r="C248" s="37">
        <v>30.0</v>
      </c>
      <c r="D248" s="37">
        <v>1.5110624136E10</v>
      </c>
      <c r="E248" s="37">
        <v>2.40002041E8</v>
      </c>
      <c r="F248" s="37" t="s">
        <v>563</v>
      </c>
      <c r="G248" s="40" t="str">
        <f t="shared" si="14"/>
        <v>Pending</v>
      </c>
      <c r="H248" s="40">
        <f t="shared" si="15"/>
        <v>-1</v>
      </c>
      <c r="I248" s="40">
        <f t="shared" si="16"/>
        <v>236</v>
      </c>
      <c r="J248" s="40">
        <f t="shared" si="17"/>
        <v>4</v>
      </c>
      <c r="K248" s="40"/>
      <c r="L248" s="42">
        <v>0.1364</v>
      </c>
      <c r="M248" s="42">
        <v>0.0526</v>
      </c>
      <c r="N248" s="42">
        <v>1.0</v>
      </c>
      <c r="O248" s="42">
        <v>1.0</v>
      </c>
      <c r="P248" s="42">
        <v>0.9545</v>
      </c>
      <c r="Q248" s="42">
        <v>1.0</v>
      </c>
      <c r="R248" s="42">
        <v>0.7727</v>
      </c>
      <c r="S248" s="42">
        <v>1.0</v>
      </c>
      <c r="T248" s="41">
        <v>1.0</v>
      </c>
      <c r="U248" s="41">
        <v>0.9545</v>
      </c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5.75" customHeight="1">
      <c r="A249" s="37" t="s">
        <v>508</v>
      </c>
      <c r="B249" s="37" t="s">
        <v>243</v>
      </c>
      <c r="C249" s="37">
        <v>31.0</v>
      </c>
      <c r="D249" s="37">
        <v>1.5110624149E10</v>
      </c>
      <c r="E249" s="37">
        <v>2.40002042E8</v>
      </c>
      <c r="F249" s="37" t="s">
        <v>564</v>
      </c>
      <c r="G249" s="40" t="str">
        <f t="shared" si="14"/>
        <v>Pending</v>
      </c>
      <c r="H249" s="40">
        <f t="shared" si="15"/>
        <v>-25</v>
      </c>
      <c r="I249" s="40">
        <f t="shared" si="16"/>
        <v>166</v>
      </c>
      <c r="J249" s="40">
        <f t="shared" si="17"/>
        <v>74</v>
      </c>
      <c r="K249" s="40"/>
      <c r="L249" s="42">
        <v>0.1364</v>
      </c>
      <c r="M249" s="42">
        <v>0.2632</v>
      </c>
      <c r="N249" s="42">
        <v>1.0</v>
      </c>
      <c r="O249" s="42">
        <v>0.7727</v>
      </c>
      <c r="P249" s="42">
        <v>0.7273</v>
      </c>
      <c r="Q249" s="42">
        <v>0.1304</v>
      </c>
      <c r="R249" s="42">
        <v>0.6364</v>
      </c>
      <c r="S249" s="42">
        <v>0.7273</v>
      </c>
      <c r="T249" s="41">
        <v>0.7727</v>
      </c>
      <c r="U249" s="41">
        <v>0.3636</v>
      </c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5.75" customHeight="1">
      <c r="A250" s="37" t="s">
        <v>508</v>
      </c>
      <c r="B250" s="37" t="s">
        <v>243</v>
      </c>
      <c r="C250" s="37">
        <v>32.0</v>
      </c>
      <c r="D250" s="37">
        <v>1.5110624039E10</v>
      </c>
      <c r="E250" s="37">
        <v>2.40002043E8</v>
      </c>
      <c r="F250" s="37" t="s">
        <v>565</v>
      </c>
      <c r="G250" s="40" t="str">
        <f t="shared" si="14"/>
        <v>OK</v>
      </c>
      <c r="H250" s="40">
        <f t="shared" si="15"/>
        <v>15</v>
      </c>
      <c r="I250" s="40">
        <f t="shared" si="16"/>
        <v>284</v>
      </c>
      <c r="J250" s="40">
        <f t="shared" si="17"/>
        <v>0</v>
      </c>
      <c r="K250" s="40"/>
      <c r="L250" s="42">
        <v>0.8182</v>
      </c>
      <c r="M250" s="42">
        <v>1.0</v>
      </c>
      <c r="N250" s="42">
        <v>1.0</v>
      </c>
      <c r="O250" s="42">
        <v>0.7727</v>
      </c>
      <c r="P250" s="42">
        <v>1.0</v>
      </c>
      <c r="Q250" s="42">
        <v>1.0</v>
      </c>
      <c r="R250" s="42">
        <v>1.0</v>
      </c>
      <c r="S250" s="42">
        <v>0.9545</v>
      </c>
      <c r="T250" s="41">
        <v>0.9091</v>
      </c>
      <c r="U250" s="41">
        <v>1.0</v>
      </c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5.75" customHeight="1">
      <c r="A251" s="37" t="s">
        <v>508</v>
      </c>
      <c r="B251" s="37" t="s">
        <v>243</v>
      </c>
      <c r="C251" s="37">
        <v>33.0</v>
      </c>
      <c r="D251" s="37">
        <v>1.5110624174E10</v>
      </c>
      <c r="E251" s="37">
        <v>2.40002044E8</v>
      </c>
      <c r="F251" s="37" t="s">
        <v>567</v>
      </c>
      <c r="G251" s="40" t="str">
        <f t="shared" si="14"/>
        <v>OK</v>
      </c>
      <c r="H251" s="40">
        <f t="shared" si="15"/>
        <v>8</v>
      </c>
      <c r="I251" s="40">
        <f t="shared" si="16"/>
        <v>263</v>
      </c>
      <c r="J251" s="40">
        <f t="shared" si="17"/>
        <v>0</v>
      </c>
      <c r="K251" s="40"/>
      <c r="L251" s="42">
        <v>0.5909</v>
      </c>
      <c r="M251" s="42">
        <v>1.0</v>
      </c>
      <c r="N251" s="42">
        <v>0.7273</v>
      </c>
      <c r="O251" s="42">
        <v>0.6818</v>
      </c>
      <c r="P251" s="42">
        <v>1.0</v>
      </c>
      <c r="Q251" s="42">
        <v>1.0</v>
      </c>
      <c r="R251" s="42">
        <v>0.8182</v>
      </c>
      <c r="S251" s="42">
        <v>1.0</v>
      </c>
      <c r="T251" s="41">
        <v>1.0</v>
      </c>
      <c r="U251" s="41">
        <v>0.9545</v>
      </c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t="15.75" customHeight="1">
      <c r="A252" s="37" t="s">
        <v>508</v>
      </c>
      <c r="B252" s="37" t="s">
        <v>243</v>
      </c>
      <c r="C252" s="37">
        <v>34.0</v>
      </c>
      <c r="D252" s="37">
        <v>1.5110624054E10</v>
      </c>
      <c r="E252" s="37">
        <v>2.40002045E8</v>
      </c>
      <c r="F252" s="37" t="s">
        <v>569</v>
      </c>
      <c r="G252" s="40" t="str">
        <f t="shared" si="14"/>
        <v>OK</v>
      </c>
      <c r="H252" s="40">
        <f t="shared" si="15"/>
        <v>2</v>
      </c>
      <c r="I252" s="40">
        <f t="shared" si="16"/>
        <v>247</v>
      </c>
      <c r="J252" s="40">
        <f t="shared" si="17"/>
        <v>0</v>
      </c>
      <c r="K252" s="40"/>
      <c r="L252" s="42">
        <v>0.4091</v>
      </c>
      <c r="M252" s="42">
        <v>0.6316</v>
      </c>
      <c r="N252" s="42">
        <v>0.8182</v>
      </c>
      <c r="O252" s="42">
        <v>0.8182</v>
      </c>
      <c r="P252" s="42">
        <v>0.9545</v>
      </c>
      <c r="Q252" s="42">
        <v>1.0</v>
      </c>
      <c r="R252" s="42">
        <v>0.7273</v>
      </c>
      <c r="S252" s="42">
        <v>1.0</v>
      </c>
      <c r="T252" s="41">
        <v>0.9091</v>
      </c>
      <c r="U252" s="41">
        <v>0.9545</v>
      </c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t="15.75" customHeight="1">
      <c r="A253" s="37" t="s">
        <v>508</v>
      </c>
      <c r="B253" s="37" t="s">
        <v>243</v>
      </c>
      <c r="C253" s="37">
        <v>35.0</v>
      </c>
      <c r="D253" s="37">
        <v>1.5110624062E10</v>
      </c>
      <c r="E253" s="37">
        <v>2.40002046E8</v>
      </c>
      <c r="F253" s="37" t="s">
        <v>571</v>
      </c>
      <c r="G253" s="40" t="str">
        <f t="shared" si="14"/>
        <v>Pending</v>
      </c>
      <c r="H253" s="40">
        <f t="shared" si="15"/>
        <v>-20</v>
      </c>
      <c r="I253" s="40">
        <f t="shared" si="16"/>
        <v>181</v>
      </c>
      <c r="J253" s="40">
        <f t="shared" si="17"/>
        <v>59</v>
      </c>
      <c r="K253" s="40"/>
      <c r="L253" s="42">
        <v>0.0455</v>
      </c>
      <c r="M253" s="42">
        <v>0.7895</v>
      </c>
      <c r="N253" s="42">
        <v>0.8636</v>
      </c>
      <c r="O253" s="42">
        <v>0.6364</v>
      </c>
      <c r="P253" s="42">
        <v>0.5909</v>
      </c>
      <c r="Q253" s="42">
        <v>0.5652</v>
      </c>
      <c r="R253" s="42">
        <v>0.9545</v>
      </c>
      <c r="S253" s="42">
        <v>0.3636</v>
      </c>
      <c r="T253" s="41">
        <v>0.6818</v>
      </c>
      <c r="U253" s="41">
        <v>0.5455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t="15.75" customHeight="1">
      <c r="A254" s="37" t="s">
        <v>508</v>
      </c>
      <c r="B254" s="37" t="s">
        <v>243</v>
      </c>
      <c r="C254" s="37">
        <v>36.0</v>
      </c>
      <c r="D254" s="37">
        <v>1.5110624139E10</v>
      </c>
      <c r="E254" s="37">
        <v>2.40002047E8</v>
      </c>
      <c r="F254" s="37" t="s">
        <v>573</v>
      </c>
      <c r="G254" s="40" t="str">
        <f t="shared" si="14"/>
        <v>OK</v>
      </c>
      <c r="H254" s="40">
        <f t="shared" si="15"/>
        <v>14</v>
      </c>
      <c r="I254" s="40">
        <f t="shared" si="16"/>
        <v>282</v>
      </c>
      <c r="J254" s="40">
        <f t="shared" si="17"/>
        <v>0</v>
      </c>
      <c r="K254" s="40"/>
      <c r="L254" s="42">
        <v>0.5909</v>
      </c>
      <c r="M254" s="42">
        <v>1.0</v>
      </c>
      <c r="N254" s="42">
        <v>1.0</v>
      </c>
      <c r="O254" s="42">
        <v>1.0</v>
      </c>
      <c r="P254" s="42">
        <v>1.0</v>
      </c>
      <c r="Q254" s="42">
        <v>0.9565</v>
      </c>
      <c r="R254" s="42">
        <v>0.9545</v>
      </c>
      <c r="S254" s="42">
        <v>1.0</v>
      </c>
      <c r="T254" s="41">
        <v>0.9091</v>
      </c>
      <c r="U254" s="41">
        <v>1.0</v>
      </c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t="15.75" customHeight="1">
      <c r="A255" s="37" t="s">
        <v>508</v>
      </c>
      <c r="B255" s="37" t="s">
        <v>243</v>
      </c>
      <c r="C255" s="37">
        <v>37.0</v>
      </c>
      <c r="D255" s="37">
        <v>1.5110624138E10</v>
      </c>
      <c r="E255" s="37">
        <v>2.40002048E8</v>
      </c>
      <c r="F255" s="37" t="s">
        <v>576</v>
      </c>
      <c r="G255" s="40" t="str">
        <f t="shared" si="14"/>
        <v>OK</v>
      </c>
      <c r="H255" s="40">
        <f t="shared" si="15"/>
        <v>12</v>
      </c>
      <c r="I255" s="40">
        <f t="shared" si="16"/>
        <v>275</v>
      </c>
      <c r="J255" s="40">
        <f t="shared" si="17"/>
        <v>0</v>
      </c>
      <c r="K255" s="40"/>
      <c r="L255" s="42">
        <v>0.5909</v>
      </c>
      <c r="M255" s="42">
        <v>1.0</v>
      </c>
      <c r="N255" s="42">
        <v>0.9545</v>
      </c>
      <c r="O255" s="42">
        <v>1.0</v>
      </c>
      <c r="P255" s="42">
        <v>0.9545</v>
      </c>
      <c r="Q255" s="42">
        <v>1.0</v>
      </c>
      <c r="R255" s="42">
        <v>0.9545</v>
      </c>
      <c r="S255" s="42">
        <v>0.8182</v>
      </c>
      <c r="T255" s="41">
        <v>0.9091</v>
      </c>
      <c r="U255" s="41">
        <v>1.0</v>
      </c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t="15.75" customHeight="1">
      <c r="A256" s="37" t="s">
        <v>508</v>
      </c>
      <c r="B256" s="37" t="s">
        <v>243</v>
      </c>
      <c r="C256" s="37">
        <v>38.0</v>
      </c>
      <c r="D256" s="37">
        <v>1.5110624096E10</v>
      </c>
      <c r="E256" s="37">
        <v>2.4000205E8</v>
      </c>
      <c r="F256" s="37" t="s">
        <v>577</v>
      </c>
      <c r="G256" s="40" t="str">
        <f t="shared" si="14"/>
        <v>OK</v>
      </c>
      <c r="H256" s="40">
        <f t="shared" si="15"/>
        <v>6</v>
      </c>
      <c r="I256" s="40">
        <f t="shared" si="16"/>
        <v>258</v>
      </c>
      <c r="J256" s="40">
        <f t="shared" si="17"/>
        <v>0</v>
      </c>
      <c r="K256" s="40"/>
      <c r="L256" s="42">
        <v>0.7727</v>
      </c>
      <c r="M256" s="42">
        <v>0.9474</v>
      </c>
      <c r="N256" s="42">
        <v>0.7727</v>
      </c>
      <c r="O256" s="42">
        <v>0.8636</v>
      </c>
      <c r="P256" s="42">
        <v>0.8636</v>
      </c>
      <c r="Q256" s="42">
        <v>0.8696</v>
      </c>
      <c r="R256" s="42">
        <v>0.6818</v>
      </c>
      <c r="S256" s="42">
        <v>1.0</v>
      </c>
      <c r="T256" s="41">
        <v>0.9091</v>
      </c>
      <c r="U256" s="41">
        <v>0.9091</v>
      </c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t="15.75" customHeight="1">
      <c r="A257" s="37" t="s">
        <v>508</v>
      </c>
      <c r="B257" s="37" t="s">
        <v>243</v>
      </c>
      <c r="C257" s="37">
        <v>39.0</v>
      </c>
      <c r="D257" s="37">
        <v>1.5110624091E10</v>
      </c>
      <c r="E257" s="37">
        <v>2.40002051E8</v>
      </c>
      <c r="F257" s="37" t="s">
        <v>578</v>
      </c>
      <c r="G257" s="40" t="str">
        <f t="shared" si="14"/>
        <v>OK</v>
      </c>
      <c r="H257" s="40">
        <f t="shared" si="15"/>
        <v>6</v>
      </c>
      <c r="I257" s="40">
        <f t="shared" si="16"/>
        <v>257</v>
      </c>
      <c r="J257" s="40">
        <f t="shared" si="17"/>
        <v>0</v>
      </c>
      <c r="K257" s="40"/>
      <c r="L257" s="42">
        <v>0.6818</v>
      </c>
      <c r="M257" s="42">
        <v>0.7368</v>
      </c>
      <c r="N257" s="42">
        <v>0.9545</v>
      </c>
      <c r="O257" s="42">
        <v>0.9091</v>
      </c>
      <c r="P257" s="42">
        <v>0.9545</v>
      </c>
      <c r="Q257" s="42">
        <v>0.913</v>
      </c>
      <c r="R257" s="42">
        <v>0.8182</v>
      </c>
      <c r="S257" s="42">
        <v>0.8636</v>
      </c>
      <c r="T257" s="41">
        <v>0.7727</v>
      </c>
      <c r="U257" s="41">
        <v>0.9545</v>
      </c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t="15.75" customHeight="1">
      <c r="A258" s="37" t="s">
        <v>508</v>
      </c>
      <c r="B258" s="37" t="s">
        <v>308</v>
      </c>
      <c r="C258" s="37">
        <v>40.0</v>
      </c>
      <c r="D258" s="37">
        <v>1.5110624148E10</v>
      </c>
      <c r="E258" s="37">
        <v>2.40002052E8</v>
      </c>
      <c r="F258" s="37" t="s">
        <v>579</v>
      </c>
      <c r="G258" s="40" t="str">
        <f t="shared" si="14"/>
        <v>OK</v>
      </c>
      <c r="H258" s="40">
        <f t="shared" si="15"/>
        <v>4</v>
      </c>
      <c r="I258" s="40">
        <f t="shared" si="16"/>
        <v>251</v>
      </c>
      <c r="J258" s="40">
        <f t="shared" si="17"/>
        <v>0</v>
      </c>
      <c r="K258" s="40"/>
      <c r="L258" s="42">
        <v>0.6818</v>
      </c>
      <c r="M258" s="42">
        <v>0.5789</v>
      </c>
      <c r="N258" s="42">
        <v>1.0</v>
      </c>
      <c r="O258" s="42">
        <v>0.9091</v>
      </c>
      <c r="P258" s="42">
        <v>0.7727</v>
      </c>
      <c r="Q258" s="42">
        <v>0.8696</v>
      </c>
      <c r="R258" s="42">
        <v>0.9545</v>
      </c>
      <c r="S258" s="42">
        <v>0.8333</v>
      </c>
      <c r="T258" s="41">
        <v>1.0</v>
      </c>
      <c r="U258" s="41">
        <v>0.7727</v>
      </c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ht="15.75" customHeight="1">
      <c r="A259" s="37" t="s">
        <v>508</v>
      </c>
      <c r="B259" s="37" t="s">
        <v>308</v>
      </c>
      <c r="C259" s="37">
        <v>41.0</v>
      </c>
      <c r="D259" s="37">
        <v>1.5110624095E10</v>
      </c>
      <c r="E259" s="37">
        <v>2.40002053E8</v>
      </c>
      <c r="F259" s="37" t="s">
        <v>580</v>
      </c>
      <c r="G259" s="40" t="str">
        <f t="shared" si="14"/>
        <v>OK</v>
      </c>
      <c r="H259" s="40">
        <f t="shared" si="15"/>
        <v>16</v>
      </c>
      <c r="I259" s="40">
        <f t="shared" si="16"/>
        <v>289</v>
      </c>
      <c r="J259" s="40">
        <f t="shared" si="17"/>
        <v>0</v>
      </c>
      <c r="K259" s="40"/>
      <c r="L259" s="42">
        <v>1.0</v>
      </c>
      <c r="M259" s="42">
        <v>0.9474</v>
      </c>
      <c r="N259" s="42">
        <v>1.0</v>
      </c>
      <c r="O259" s="42">
        <v>1.0</v>
      </c>
      <c r="P259" s="42">
        <v>0.9545</v>
      </c>
      <c r="Q259" s="42">
        <v>0.9565</v>
      </c>
      <c r="R259" s="42">
        <v>1.0</v>
      </c>
      <c r="S259" s="42">
        <v>0.875</v>
      </c>
      <c r="T259" s="41">
        <v>0.9091</v>
      </c>
      <c r="U259" s="41">
        <v>1.0</v>
      </c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ht="15.75" customHeight="1">
      <c r="A260" s="37" t="s">
        <v>508</v>
      </c>
      <c r="B260" s="37" t="s">
        <v>308</v>
      </c>
      <c r="C260" s="37">
        <v>42.0</v>
      </c>
      <c r="D260" s="37">
        <v>1.5110624164E10</v>
      </c>
      <c r="E260" s="37">
        <v>2.40002054E8</v>
      </c>
      <c r="F260" s="37" t="s">
        <v>581</v>
      </c>
      <c r="G260" s="40" t="str">
        <f t="shared" si="14"/>
        <v>Pending</v>
      </c>
      <c r="H260" s="40">
        <f t="shared" si="15"/>
        <v>-12</v>
      </c>
      <c r="I260" s="40">
        <f t="shared" si="16"/>
        <v>205</v>
      </c>
      <c r="J260" s="40">
        <f t="shared" si="17"/>
        <v>35</v>
      </c>
      <c r="K260" s="40"/>
      <c r="L260" s="42">
        <v>0.0909</v>
      </c>
      <c r="M260" s="42">
        <v>0.8421</v>
      </c>
      <c r="N260" s="42">
        <v>0.9091</v>
      </c>
      <c r="O260" s="42">
        <v>0.4091</v>
      </c>
      <c r="P260" s="42">
        <v>0.8636</v>
      </c>
      <c r="Q260" s="42">
        <v>0.8696</v>
      </c>
      <c r="R260" s="42">
        <v>0.7727</v>
      </c>
      <c r="S260" s="42">
        <v>0.5833</v>
      </c>
      <c r="T260" s="41">
        <v>0.6818</v>
      </c>
      <c r="U260" s="41">
        <v>0.8182</v>
      </c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ht="15.75" customHeight="1">
      <c r="A261" s="37" t="s">
        <v>508</v>
      </c>
      <c r="B261" s="37" t="s">
        <v>308</v>
      </c>
      <c r="C261" s="37">
        <v>43.0</v>
      </c>
      <c r="D261" s="37">
        <v>1.5110624143E10</v>
      </c>
      <c r="E261" s="37">
        <v>2.40002055E8</v>
      </c>
      <c r="F261" s="37" t="s">
        <v>582</v>
      </c>
      <c r="G261" s="40" t="str">
        <f t="shared" si="14"/>
        <v>Pending</v>
      </c>
      <c r="H261" s="40">
        <f t="shared" si="15"/>
        <v>-1</v>
      </c>
      <c r="I261" s="40">
        <f t="shared" si="16"/>
        <v>236</v>
      </c>
      <c r="J261" s="40">
        <f t="shared" si="17"/>
        <v>4</v>
      </c>
      <c r="K261" s="40"/>
      <c r="L261" s="42">
        <v>0.0455</v>
      </c>
      <c r="M261" s="42">
        <v>1.0</v>
      </c>
      <c r="N261" s="42">
        <v>0.8636</v>
      </c>
      <c r="O261" s="42">
        <v>0.5909</v>
      </c>
      <c r="P261" s="42">
        <v>0.9545</v>
      </c>
      <c r="Q261" s="42">
        <v>0.7826</v>
      </c>
      <c r="R261" s="42">
        <v>0.9545</v>
      </c>
      <c r="S261" s="42">
        <v>0.75</v>
      </c>
      <c r="T261" s="41">
        <v>0.9091</v>
      </c>
      <c r="U261" s="41">
        <v>1.0</v>
      </c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ht="15.75" customHeight="1">
      <c r="A262" s="37" t="s">
        <v>508</v>
      </c>
      <c r="B262" s="37" t="s">
        <v>308</v>
      </c>
      <c r="C262" s="37">
        <v>44.0</v>
      </c>
      <c r="D262" s="37">
        <v>1.511062415E10</v>
      </c>
      <c r="E262" s="37">
        <v>2.4000206E8</v>
      </c>
      <c r="F262" s="37" t="s">
        <v>583</v>
      </c>
      <c r="G262" s="40" t="str">
        <f t="shared" si="14"/>
        <v>Pending</v>
      </c>
      <c r="H262" s="40">
        <f t="shared" si="15"/>
        <v>-31</v>
      </c>
      <c r="I262" s="40">
        <f t="shared" si="16"/>
        <v>147</v>
      </c>
      <c r="J262" s="40">
        <f t="shared" si="17"/>
        <v>93</v>
      </c>
      <c r="K262" s="40"/>
      <c r="L262" s="42">
        <v>0.5909</v>
      </c>
      <c r="M262" s="42">
        <v>0.2105</v>
      </c>
      <c r="N262" s="42">
        <v>0.7727</v>
      </c>
      <c r="O262" s="42">
        <v>0.5909</v>
      </c>
      <c r="P262" s="42">
        <v>0.3182</v>
      </c>
      <c r="Q262" s="42">
        <v>0.6522</v>
      </c>
      <c r="R262" s="42">
        <v>0.3636</v>
      </c>
      <c r="S262" s="42">
        <v>0.6667</v>
      </c>
      <c r="T262" s="41">
        <v>0.4091</v>
      </c>
      <c r="U262" s="41">
        <v>0.3182</v>
      </c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ht="15.75" customHeight="1">
      <c r="A263" s="37" t="s">
        <v>508</v>
      </c>
      <c r="B263" s="37" t="s">
        <v>308</v>
      </c>
      <c r="C263" s="37">
        <v>45.0</v>
      </c>
      <c r="D263" s="37">
        <v>1.5110624147E10</v>
      </c>
      <c r="E263" s="37">
        <v>2.40002062E8</v>
      </c>
      <c r="F263" s="37" t="s">
        <v>584</v>
      </c>
      <c r="G263" s="40" t="str">
        <f t="shared" si="14"/>
        <v>Pending</v>
      </c>
      <c r="H263" s="40">
        <f t="shared" si="15"/>
        <v>-6</v>
      </c>
      <c r="I263" s="40">
        <f t="shared" si="16"/>
        <v>223</v>
      </c>
      <c r="J263" s="40">
        <f t="shared" si="17"/>
        <v>17</v>
      </c>
      <c r="K263" s="40"/>
      <c r="L263" s="42">
        <v>0.0909</v>
      </c>
      <c r="M263" s="42">
        <v>0.8947</v>
      </c>
      <c r="N263" s="42">
        <v>0.8182</v>
      </c>
      <c r="O263" s="42">
        <v>0.8182</v>
      </c>
      <c r="P263" s="42">
        <v>0.7727</v>
      </c>
      <c r="Q263" s="42">
        <v>0.6957</v>
      </c>
      <c r="R263" s="42">
        <v>0.9545</v>
      </c>
      <c r="S263" s="42">
        <v>0.7917</v>
      </c>
      <c r="T263" s="41">
        <v>0.9091</v>
      </c>
      <c r="U263" s="41">
        <v>0.6818</v>
      </c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ht="15.75" customHeight="1">
      <c r="A264" s="37" t="s">
        <v>508</v>
      </c>
      <c r="B264" s="37" t="s">
        <v>308</v>
      </c>
      <c r="C264" s="37">
        <v>46.0</v>
      </c>
      <c r="D264" s="37">
        <v>1.5110624168E10</v>
      </c>
      <c r="E264" s="37">
        <v>2.40002063E8</v>
      </c>
      <c r="F264" s="37" t="s">
        <v>585</v>
      </c>
      <c r="G264" s="40" t="str">
        <f t="shared" si="14"/>
        <v>OK</v>
      </c>
      <c r="H264" s="40">
        <f t="shared" si="15"/>
        <v>8</v>
      </c>
      <c r="I264" s="40">
        <f t="shared" si="16"/>
        <v>264</v>
      </c>
      <c r="J264" s="40">
        <f t="shared" si="17"/>
        <v>0</v>
      </c>
      <c r="K264" s="40"/>
      <c r="L264" s="42">
        <v>1.0</v>
      </c>
      <c r="M264" s="42">
        <v>1.0</v>
      </c>
      <c r="N264" s="42">
        <v>0.9091</v>
      </c>
      <c r="O264" s="42">
        <v>0.9545</v>
      </c>
      <c r="P264" s="42">
        <v>0.7273</v>
      </c>
      <c r="Q264" s="42">
        <v>0.6522</v>
      </c>
      <c r="R264" s="42">
        <v>0.8636</v>
      </c>
      <c r="S264" s="42">
        <v>0.875</v>
      </c>
      <c r="T264" s="41">
        <v>1.0</v>
      </c>
      <c r="U264" s="41">
        <v>0.8182</v>
      </c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ht="15.75" customHeight="1">
      <c r="A265" s="37" t="s">
        <v>508</v>
      </c>
      <c r="B265" s="37" t="s">
        <v>308</v>
      </c>
      <c r="C265" s="37">
        <v>47.0</v>
      </c>
      <c r="D265" s="37">
        <v>1.5110624106E10</v>
      </c>
      <c r="E265" s="37">
        <v>2.40002064E8</v>
      </c>
      <c r="F265" s="37" t="s">
        <v>586</v>
      </c>
      <c r="G265" s="40" t="str">
        <f t="shared" si="14"/>
        <v>Pending</v>
      </c>
      <c r="H265" s="40">
        <f t="shared" si="15"/>
        <v>-37</v>
      </c>
      <c r="I265" s="40">
        <f t="shared" si="16"/>
        <v>130</v>
      </c>
      <c r="J265" s="40">
        <f t="shared" si="17"/>
        <v>110</v>
      </c>
      <c r="K265" s="40"/>
      <c r="L265" s="42">
        <v>0.6364</v>
      </c>
      <c r="M265" s="42">
        <v>0.0</v>
      </c>
      <c r="N265" s="42">
        <v>0.4091</v>
      </c>
      <c r="O265" s="42">
        <v>0.7727</v>
      </c>
      <c r="P265" s="42">
        <v>0.6364</v>
      </c>
      <c r="Q265" s="42">
        <v>0.4348</v>
      </c>
      <c r="R265" s="42">
        <v>0.6818</v>
      </c>
      <c r="S265" s="42">
        <v>0.0</v>
      </c>
      <c r="T265" s="41">
        <v>0.6818</v>
      </c>
      <c r="U265" s="41">
        <v>0.0909</v>
      </c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ht="15.75" customHeight="1">
      <c r="A266" s="37" t="s">
        <v>508</v>
      </c>
      <c r="B266" s="37" t="s">
        <v>308</v>
      </c>
      <c r="C266" s="37">
        <v>48.0</v>
      </c>
      <c r="D266" s="37">
        <v>1.5110624021E10</v>
      </c>
      <c r="E266" s="37">
        <v>2.40002065E8</v>
      </c>
      <c r="F266" s="37" t="s">
        <v>587</v>
      </c>
      <c r="G266" s="40" t="str">
        <f t="shared" si="14"/>
        <v>OK</v>
      </c>
      <c r="H266" s="40">
        <f t="shared" si="15"/>
        <v>5</v>
      </c>
      <c r="I266" s="40">
        <f t="shared" si="16"/>
        <v>254</v>
      </c>
      <c r="J266" s="40">
        <f t="shared" si="17"/>
        <v>0</v>
      </c>
      <c r="K266" s="40"/>
      <c r="L266" s="42">
        <v>0.6364</v>
      </c>
      <c r="M266" s="42">
        <v>0.8947</v>
      </c>
      <c r="N266" s="42">
        <v>0.9545</v>
      </c>
      <c r="O266" s="42">
        <v>0.9091</v>
      </c>
      <c r="P266" s="42">
        <v>0.9545</v>
      </c>
      <c r="Q266" s="42">
        <v>1.0</v>
      </c>
      <c r="R266" s="42">
        <v>0.4091</v>
      </c>
      <c r="S266" s="42">
        <v>0.7917</v>
      </c>
      <c r="T266" s="41">
        <v>1.0</v>
      </c>
      <c r="U266" s="41">
        <v>0.9091</v>
      </c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ht="15.75" customHeight="1">
      <c r="A267" s="37" t="s">
        <v>508</v>
      </c>
      <c r="B267" s="37" t="s">
        <v>308</v>
      </c>
      <c r="C267" s="37">
        <v>49.0</v>
      </c>
      <c r="D267" s="37">
        <v>1.5110624042E10</v>
      </c>
      <c r="E267" s="37">
        <v>2.40002066E8</v>
      </c>
      <c r="F267" s="37" t="s">
        <v>588</v>
      </c>
      <c r="G267" s="40" t="str">
        <f t="shared" si="14"/>
        <v>OK</v>
      </c>
      <c r="H267" s="40">
        <f t="shared" si="15"/>
        <v>20</v>
      </c>
      <c r="I267" s="40">
        <f t="shared" si="16"/>
        <v>300</v>
      </c>
      <c r="J267" s="40">
        <f t="shared" si="17"/>
        <v>0</v>
      </c>
      <c r="K267" s="40"/>
      <c r="L267" s="42">
        <v>1.0</v>
      </c>
      <c r="M267" s="42">
        <v>1.0</v>
      </c>
      <c r="N267" s="42">
        <v>1.0</v>
      </c>
      <c r="O267" s="42">
        <v>1.0</v>
      </c>
      <c r="P267" s="42">
        <v>1.0</v>
      </c>
      <c r="Q267" s="42">
        <v>1.0</v>
      </c>
      <c r="R267" s="42">
        <v>1.0</v>
      </c>
      <c r="S267" s="42">
        <v>1.0</v>
      </c>
      <c r="T267" s="41">
        <v>1.0</v>
      </c>
      <c r="U267" s="41">
        <v>1.0</v>
      </c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ht="15.75" customHeight="1">
      <c r="A268" s="37" t="s">
        <v>508</v>
      </c>
      <c r="B268" s="37" t="s">
        <v>308</v>
      </c>
      <c r="C268" s="37">
        <v>50.0</v>
      </c>
      <c r="D268" s="37">
        <v>1.511062402E10</v>
      </c>
      <c r="E268" s="37">
        <v>2.4000207E8</v>
      </c>
      <c r="F268" s="37" t="s">
        <v>589</v>
      </c>
      <c r="G268" s="40" t="str">
        <f t="shared" si="14"/>
        <v>Pending</v>
      </c>
      <c r="H268" s="40">
        <f t="shared" si="15"/>
        <v>-17</v>
      </c>
      <c r="I268" s="40">
        <f t="shared" si="16"/>
        <v>188</v>
      </c>
      <c r="J268" s="40">
        <f t="shared" si="17"/>
        <v>52</v>
      </c>
      <c r="K268" s="40"/>
      <c r="L268" s="42">
        <v>0.0455</v>
      </c>
      <c r="M268" s="42">
        <v>0.0</v>
      </c>
      <c r="N268" s="42">
        <v>0.8182</v>
      </c>
      <c r="O268" s="42">
        <v>1.0</v>
      </c>
      <c r="P268" s="42">
        <v>0.9545</v>
      </c>
      <c r="Q268" s="42">
        <v>0.9565</v>
      </c>
      <c r="R268" s="42">
        <v>0.8182</v>
      </c>
      <c r="S268" s="42">
        <v>0.7083</v>
      </c>
      <c r="T268" s="41">
        <v>0.9545</v>
      </c>
      <c r="U268" s="41">
        <v>0.0</v>
      </c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ht="15.75" customHeight="1">
      <c r="A269" s="37" t="s">
        <v>508</v>
      </c>
      <c r="B269" s="37" t="s">
        <v>308</v>
      </c>
      <c r="C269" s="37">
        <v>51.0</v>
      </c>
      <c r="D269" s="37">
        <v>1.5110624161E10</v>
      </c>
      <c r="E269" s="37">
        <v>2.40002073E8</v>
      </c>
      <c r="F269" s="37" t="s">
        <v>590</v>
      </c>
      <c r="G269" s="40" t="str">
        <f t="shared" si="14"/>
        <v>OK</v>
      </c>
      <c r="H269" s="40">
        <f t="shared" si="15"/>
        <v>16</v>
      </c>
      <c r="I269" s="40">
        <f t="shared" si="16"/>
        <v>288</v>
      </c>
      <c r="J269" s="40">
        <f t="shared" si="17"/>
        <v>0</v>
      </c>
      <c r="K269" s="40"/>
      <c r="L269" s="42">
        <v>1.0</v>
      </c>
      <c r="M269" s="42">
        <v>1.0</v>
      </c>
      <c r="N269" s="42">
        <v>1.0</v>
      </c>
      <c r="O269" s="42">
        <v>1.0</v>
      </c>
      <c r="P269" s="42">
        <v>1.0</v>
      </c>
      <c r="Q269" s="42">
        <v>0.7391</v>
      </c>
      <c r="R269" s="42">
        <v>0.9545</v>
      </c>
      <c r="S269" s="42">
        <v>0.9167</v>
      </c>
      <c r="T269" s="41">
        <v>1.0</v>
      </c>
      <c r="U269" s="41">
        <v>1.0</v>
      </c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ht="15.75" customHeight="1">
      <c r="A270" s="37" t="s">
        <v>508</v>
      </c>
      <c r="B270" s="37" t="s">
        <v>308</v>
      </c>
      <c r="C270" s="37">
        <v>52.0</v>
      </c>
      <c r="D270" s="37">
        <v>1.5110624035E10</v>
      </c>
      <c r="E270" s="37">
        <v>2.40002074E8</v>
      </c>
      <c r="F270" s="37" t="s">
        <v>591</v>
      </c>
      <c r="G270" s="40" t="str">
        <f t="shared" si="14"/>
        <v>Pending</v>
      </c>
      <c r="H270" s="40">
        <f t="shared" si="15"/>
        <v>-1</v>
      </c>
      <c r="I270" s="40">
        <f t="shared" si="16"/>
        <v>236</v>
      </c>
      <c r="J270" s="40">
        <f t="shared" si="17"/>
        <v>4</v>
      </c>
      <c r="K270" s="40"/>
      <c r="L270" s="42">
        <v>0.3182</v>
      </c>
      <c r="M270" s="42">
        <v>0.8421</v>
      </c>
      <c r="N270" s="42">
        <v>0.8182</v>
      </c>
      <c r="O270" s="42">
        <v>0.9545</v>
      </c>
      <c r="P270" s="42">
        <v>0.8636</v>
      </c>
      <c r="Q270" s="42">
        <v>0.7391</v>
      </c>
      <c r="R270" s="42">
        <v>0.6818</v>
      </c>
      <c r="S270" s="42">
        <v>0.8333</v>
      </c>
      <c r="T270" s="41">
        <v>0.8636</v>
      </c>
      <c r="U270" s="41">
        <v>0.9545</v>
      </c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ht="15.75" customHeight="1">
      <c r="A271" s="37" t="s">
        <v>508</v>
      </c>
      <c r="B271" s="37" t="s">
        <v>308</v>
      </c>
      <c r="C271" s="37">
        <v>53.0</v>
      </c>
      <c r="D271" s="37">
        <v>1.5110624019E10</v>
      </c>
      <c r="E271" s="37">
        <v>2.40002076E8</v>
      </c>
      <c r="F271" s="37" t="s">
        <v>592</v>
      </c>
      <c r="G271" s="40" t="str">
        <f t="shared" si="14"/>
        <v>Pending</v>
      </c>
      <c r="H271" s="40">
        <f t="shared" si="15"/>
        <v>-75</v>
      </c>
      <c r="I271" s="40">
        <f t="shared" si="16"/>
        <v>15</v>
      </c>
      <c r="J271" s="40">
        <f t="shared" si="17"/>
        <v>225</v>
      </c>
      <c r="K271" s="40"/>
      <c r="L271" s="42">
        <v>0.0455</v>
      </c>
      <c r="M271" s="42">
        <v>0.0526</v>
      </c>
      <c r="N271" s="42">
        <v>0.0455</v>
      </c>
      <c r="O271" s="42">
        <v>0.0909</v>
      </c>
      <c r="P271" s="42">
        <v>0.0455</v>
      </c>
      <c r="Q271" s="42">
        <v>0.0435</v>
      </c>
      <c r="R271" s="42">
        <v>0.0909</v>
      </c>
      <c r="S271" s="42">
        <v>0.0</v>
      </c>
      <c r="T271" s="41">
        <v>0.0455</v>
      </c>
      <c r="U271" s="41">
        <v>0.0455</v>
      </c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ht="15.75" customHeight="1">
      <c r="A272" s="37" t="s">
        <v>508</v>
      </c>
      <c r="B272" s="37" t="s">
        <v>308</v>
      </c>
      <c r="C272" s="37">
        <v>54.0</v>
      </c>
      <c r="D272" s="37">
        <v>1.5110624037E10</v>
      </c>
      <c r="E272" s="37">
        <v>2.40002077E8</v>
      </c>
      <c r="F272" s="37" t="s">
        <v>593</v>
      </c>
      <c r="G272" s="40" t="str">
        <f t="shared" si="14"/>
        <v>OK</v>
      </c>
      <c r="H272" s="40">
        <f t="shared" si="15"/>
        <v>16</v>
      </c>
      <c r="I272" s="40">
        <f t="shared" si="16"/>
        <v>289</v>
      </c>
      <c r="J272" s="40">
        <f t="shared" si="17"/>
        <v>0</v>
      </c>
      <c r="K272" s="40"/>
      <c r="L272" s="42">
        <v>1.0</v>
      </c>
      <c r="M272" s="42">
        <v>1.0</v>
      </c>
      <c r="N272" s="42">
        <v>1.0</v>
      </c>
      <c r="O272" s="42">
        <v>1.0</v>
      </c>
      <c r="P272" s="42">
        <v>1.0</v>
      </c>
      <c r="Q272" s="42">
        <v>0.8261</v>
      </c>
      <c r="R272" s="42">
        <v>0.8182</v>
      </c>
      <c r="S272" s="42">
        <v>1.0</v>
      </c>
      <c r="T272" s="41">
        <v>1.0</v>
      </c>
      <c r="U272" s="41">
        <v>1.0</v>
      </c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ht="15.75" customHeight="1">
      <c r="A273" s="37" t="s">
        <v>508</v>
      </c>
      <c r="B273" s="37" t="s">
        <v>308</v>
      </c>
      <c r="C273" s="37">
        <v>55.0</v>
      </c>
      <c r="D273" s="37">
        <v>1.5110624018E10</v>
      </c>
      <c r="E273" s="37">
        <v>2.40002078E8</v>
      </c>
      <c r="F273" s="37" t="s">
        <v>594</v>
      </c>
      <c r="G273" s="40" t="str">
        <f t="shared" si="14"/>
        <v>OK</v>
      </c>
      <c r="H273" s="40">
        <f t="shared" si="15"/>
        <v>3</v>
      </c>
      <c r="I273" s="40">
        <f t="shared" si="16"/>
        <v>248</v>
      </c>
      <c r="J273" s="40">
        <f t="shared" si="17"/>
        <v>0</v>
      </c>
      <c r="K273" s="40"/>
      <c r="L273" s="42">
        <v>0.7727</v>
      </c>
      <c r="M273" s="42">
        <v>0.9474</v>
      </c>
      <c r="N273" s="42">
        <v>0.7727</v>
      </c>
      <c r="O273" s="42">
        <v>0.8636</v>
      </c>
      <c r="P273" s="42">
        <v>0.6818</v>
      </c>
      <c r="Q273" s="42">
        <v>0.8696</v>
      </c>
      <c r="R273" s="42">
        <v>0.6818</v>
      </c>
      <c r="S273" s="42">
        <v>1.0</v>
      </c>
      <c r="T273" s="41">
        <v>0.8636</v>
      </c>
      <c r="U273" s="41">
        <v>0.8182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ht="15.75" customHeight="1">
      <c r="A274" s="37" t="s">
        <v>508</v>
      </c>
      <c r="B274" s="37" t="s">
        <v>308</v>
      </c>
      <c r="C274" s="37">
        <v>56.0</v>
      </c>
      <c r="D274" s="37">
        <v>1.5110624078E10</v>
      </c>
      <c r="E274" s="37">
        <v>2.40002079E8</v>
      </c>
      <c r="F274" s="37" t="s">
        <v>595</v>
      </c>
      <c r="G274" s="40" t="str">
        <f t="shared" si="14"/>
        <v>OK</v>
      </c>
      <c r="H274" s="40">
        <f t="shared" si="15"/>
        <v>7</v>
      </c>
      <c r="I274" s="40">
        <f t="shared" si="16"/>
        <v>261</v>
      </c>
      <c r="J274" s="40">
        <f t="shared" si="17"/>
        <v>0</v>
      </c>
      <c r="K274" s="40"/>
      <c r="L274" s="42">
        <v>0.6364</v>
      </c>
      <c r="M274" s="42">
        <v>1.0</v>
      </c>
      <c r="N274" s="42">
        <v>0.9545</v>
      </c>
      <c r="O274" s="42">
        <v>1.0</v>
      </c>
      <c r="P274" s="42">
        <v>0.6364</v>
      </c>
      <c r="Q274" s="42">
        <v>0.8696</v>
      </c>
      <c r="R274" s="42">
        <v>0.9545</v>
      </c>
      <c r="S274" s="42">
        <v>0.7083</v>
      </c>
      <c r="T274" s="41">
        <v>1.0</v>
      </c>
      <c r="U274" s="41">
        <v>0.9545</v>
      </c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ht="15.75" customHeight="1">
      <c r="A275" s="37" t="s">
        <v>508</v>
      </c>
      <c r="B275" s="37" t="s">
        <v>308</v>
      </c>
      <c r="C275" s="37">
        <v>57.0</v>
      </c>
      <c r="D275" s="37">
        <v>1.5110624064E10</v>
      </c>
      <c r="E275" s="37">
        <v>2.4000208E8</v>
      </c>
      <c r="F275" s="37" t="s">
        <v>596</v>
      </c>
      <c r="G275" s="40" t="str">
        <f t="shared" si="14"/>
        <v>OK</v>
      </c>
      <c r="H275" s="40">
        <f t="shared" si="15"/>
        <v>7</v>
      </c>
      <c r="I275" s="40">
        <f t="shared" si="16"/>
        <v>262</v>
      </c>
      <c r="J275" s="40">
        <f t="shared" si="17"/>
        <v>0</v>
      </c>
      <c r="K275" s="40"/>
      <c r="L275" s="42">
        <v>0.0909</v>
      </c>
      <c r="M275" s="42">
        <v>1.0</v>
      </c>
      <c r="N275" s="42">
        <v>0.9091</v>
      </c>
      <c r="O275" s="42">
        <v>1.0</v>
      </c>
      <c r="P275" s="42">
        <v>0.9545</v>
      </c>
      <c r="Q275" s="42">
        <v>1.0</v>
      </c>
      <c r="R275" s="42">
        <v>1.0</v>
      </c>
      <c r="S275" s="42">
        <v>0.875</v>
      </c>
      <c r="T275" s="41">
        <v>1.0</v>
      </c>
      <c r="U275" s="41">
        <v>0.9091</v>
      </c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ht="15.75" customHeight="1">
      <c r="A276" s="37" t="s">
        <v>508</v>
      </c>
      <c r="B276" s="37" t="s">
        <v>308</v>
      </c>
      <c r="C276" s="37">
        <v>58.0</v>
      </c>
      <c r="D276" s="37">
        <v>1.5110624059E10</v>
      </c>
      <c r="E276" s="37">
        <v>2.40002083E8</v>
      </c>
      <c r="F276" s="37" t="s">
        <v>597</v>
      </c>
      <c r="G276" s="40" t="str">
        <f t="shared" si="14"/>
        <v>OK</v>
      </c>
      <c r="H276" s="40">
        <f t="shared" si="15"/>
        <v>9</v>
      </c>
      <c r="I276" s="40">
        <f t="shared" si="16"/>
        <v>266</v>
      </c>
      <c r="J276" s="40">
        <f t="shared" si="17"/>
        <v>0</v>
      </c>
      <c r="K276" s="40"/>
      <c r="L276" s="42">
        <v>0.7727</v>
      </c>
      <c r="M276" s="42">
        <v>0.5789</v>
      </c>
      <c r="N276" s="42">
        <v>0.9545</v>
      </c>
      <c r="O276" s="42">
        <v>1.0</v>
      </c>
      <c r="P276" s="42">
        <v>1.0</v>
      </c>
      <c r="Q276" s="42">
        <v>0.7391</v>
      </c>
      <c r="R276" s="42">
        <v>0.9091</v>
      </c>
      <c r="S276" s="42">
        <v>0.9167</v>
      </c>
      <c r="T276" s="41">
        <v>1.0</v>
      </c>
      <c r="U276" s="41">
        <v>1.0</v>
      </c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ht="15.75" customHeight="1">
      <c r="A277" s="37" t="s">
        <v>508</v>
      </c>
      <c r="B277" s="37" t="s">
        <v>308</v>
      </c>
      <c r="C277" s="37">
        <v>59.0</v>
      </c>
      <c r="D277" s="37">
        <v>1.5110624159E10</v>
      </c>
      <c r="E277" s="37">
        <v>2.40002084E8</v>
      </c>
      <c r="F277" s="37" t="s">
        <v>598</v>
      </c>
      <c r="G277" s="40" t="str">
        <f t="shared" si="14"/>
        <v>Pending</v>
      </c>
      <c r="H277" s="40">
        <f t="shared" si="15"/>
        <v>-2</v>
      </c>
      <c r="I277" s="40">
        <f t="shared" si="16"/>
        <v>233</v>
      </c>
      <c r="J277" s="40">
        <f t="shared" si="17"/>
        <v>7</v>
      </c>
      <c r="K277" s="40"/>
      <c r="L277" s="42">
        <v>0.4545</v>
      </c>
      <c r="M277" s="42">
        <v>0.4211</v>
      </c>
      <c r="N277" s="42">
        <v>0.8636</v>
      </c>
      <c r="O277" s="42">
        <v>0.7727</v>
      </c>
      <c r="P277" s="42">
        <v>0.9545</v>
      </c>
      <c r="Q277" s="42">
        <v>0.9565</v>
      </c>
      <c r="R277" s="42">
        <v>1.0</v>
      </c>
      <c r="S277" s="42">
        <v>0.5833</v>
      </c>
      <c r="T277" s="41">
        <v>0.9545</v>
      </c>
      <c r="U277" s="41">
        <v>0.8182</v>
      </c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ht="15.75" customHeight="1">
      <c r="A278" s="37" t="s">
        <v>508</v>
      </c>
      <c r="B278" s="37" t="s">
        <v>308</v>
      </c>
      <c r="C278" s="37">
        <v>60.0</v>
      </c>
      <c r="D278" s="37">
        <v>1.5110624171E10</v>
      </c>
      <c r="E278" s="37">
        <v>2.40002085E8</v>
      </c>
      <c r="F278" s="37" t="s">
        <v>599</v>
      </c>
      <c r="G278" s="40" t="str">
        <f t="shared" si="14"/>
        <v>Pending</v>
      </c>
      <c r="H278" s="40">
        <f t="shared" si="15"/>
        <v>-5</v>
      </c>
      <c r="I278" s="40">
        <f t="shared" si="16"/>
        <v>226</v>
      </c>
      <c r="J278" s="40">
        <f t="shared" si="17"/>
        <v>14</v>
      </c>
      <c r="K278" s="40"/>
      <c r="L278" s="42">
        <v>0.2727</v>
      </c>
      <c r="M278" s="42">
        <v>0.7895</v>
      </c>
      <c r="N278" s="42">
        <v>1.0</v>
      </c>
      <c r="O278" s="42">
        <v>0.8182</v>
      </c>
      <c r="P278" s="42">
        <v>0.7727</v>
      </c>
      <c r="Q278" s="42">
        <v>0.8696</v>
      </c>
      <c r="R278" s="42">
        <v>0.6364</v>
      </c>
      <c r="S278" s="42">
        <v>0.75</v>
      </c>
      <c r="T278" s="41">
        <v>0.7727</v>
      </c>
      <c r="U278" s="41">
        <v>0.8636</v>
      </c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ht="15.75" customHeight="1">
      <c r="A279" s="37" t="s">
        <v>508</v>
      </c>
      <c r="B279" s="37" t="s">
        <v>308</v>
      </c>
      <c r="C279" s="37">
        <v>61.0</v>
      </c>
      <c r="D279" s="37">
        <v>1.5110624082E10</v>
      </c>
      <c r="E279" s="37">
        <v>2.40002086E8</v>
      </c>
      <c r="F279" s="37" t="s">
        <v>600</v>
      </c>
      <c r="G279" s="40" t="str">
        <f t="shared" si="14"/>
        <v>OK</v>
      </c>
      <c r="H279" s="40">
        <f t="shared" si="15"/>
        <v>17</v>
      </c>
      <c r="I279" s="40">
        <f t="shared" si="16"/>
        <v>292</v>
      </c>
      <c r="J279" s="40">
        <f t="shared" si="17"/>
        <v>0</v>
      </c>
      <c r="K279" s="40"/>
      <c r="L279" s="42">
        <v>1.0</v>
      </c>
      <c r="M279" s="42">
        <v>1.0</v>
      </c>
      <c r="N279" s="42">
        <v>0.9091</v>
      </c>
      <c r="O279" s="42">
        <v>1.0</v>
      </c>
      <c r="P279" s="42">
        <v>1.0</v>
      </c>
      <c r="Q279" s="42">
        <v>0.913</v>
      </c>
      <c r="R279" s="42">
        <v>1.0</v>
      </c>
      <c r="S279" s="42">
        <v>0.9167</v>
      </c>
      <c r="T279" s="41">
        <v>1.0</v>
      </c>
      <c r="U279" s="41">
        <v>1.0</v>
      </c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ht="15.75" customHeight="1">
      <c r="A280" s="37" t="s">
        <v>508</v>
      </c>
      <c r="B280" s="37" t="s">
        <v>308</v>
      </c>
      <c r="C280" s="37">
        <v>62.0</v>
      </c>
      <c r="D280" s="37">
        <v>1.5110624052E10</v>
      </c>
      <c r="E280" s="37">
        <v>2.40002087E8</v>
      </c>
      <c r="F280" s="37" t="s">
        <v>601</v>
      </c>
      <c r="G280" s="40" t="str">
        <f t="shared" si="14"/>
        <v>Pending</v>
      </c>
      <c r="H280" s="40">
        <f t="shared" si="15"/>
        <v>-23</v>
      </c>
      <c r="I280" s="40">
        <f t="shared" si="16"/>
        <v>170</v>
      </c>
      <c r="J280" s="40">
        <f t="shared" si="17"/>
        <v>70</v>
      </c>
      <c r="K280" s="40"/>
      <c r="L280" s="42">
        <v>0.1364</v>
      </c>
      <c r="M280" s="42">
        <v>0.6842</v>
      </c>
      <c r="N280" s="42">
        <v>0.7727</v>
      </c>
      <c r="O280" s="42">
        <v>0.7273</v>
      </c>
      <c r="P280" s="42">
        <v>0.6364</v>
      </c>
      <c r="Q280" s="42">
        <v>0.4348</v>
      </c>
      <c r="R280" s="42">
        <v>0.7727</v>
      </c>
      <c r="S280" s="42">
        <v>0.5833</v>
      </c>
      <c r="T280" s="41">
        <v>0.5</v>
      </c>
      <c r="U280" s="41">
        <v>0.4091</v>
      </c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ht="15.75" customHeight="1">
      <c r="A281" s="37" t="s">
        <v>508</v>
      </c>
      <c r="B281" s="37" t="s">
        <v>308</v>
      </c>
      <c r="C281" s="37">
        <v>63.0</v>
      </c>
      <c r="D281" s="37">
        <v>1.5110624001E10</v>
      </c>
      <c r="E281" s="37">
        <v>2.40002089E8</v>
      </c>
      <c r="F281" s="37" t="s">
        <v>602</v>
      </c>
      <c r="G281" s="40" t="str">
        <f t="shared" si="14"/>
        <v>OK</v>
      </c>
      <c r="H281" s="40">
        <f t="shared" si="15"/>
        <v>12</v>
      </c>
      <c r="I281" s="40">
        <f t="shared" si="16"/>
        <v>277</v>
      </c>
      <c r="J281" s="40">
        <f t="shared" si="17"/>
        <v>0</v>
      </c>
      <c r="K281" s="40"/>
      <c r="L281" s="42">
        <v>1.0</v>
      </c>
      <c r="M281" s="42">
        <v>1.0</v>
      </c>
      <c r="N281" s="42">
        <v>1.0</v>
      </c>
      <c r="O281" s="42">
        <v>0.9091</v>
      </c>
      <c r="P281" s="42">
        <v>0.8636</v>
      </c>
      <c r="Q281" s="42">
        <v>0.8261</v>
      </c>
      <c r="R281" s="42">
        <v>0.9091</v>
      </c>
      <c r="S281" s="42">
        <v>0.9167</v>
      </c>
      <c r="T281" s="41">
        <v>0.8182</v>
      </c>
      <c r="U281" s="41">
        <v>1.0</v>
      </c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ht="15.75" customHeight="1">
      <c r="A282" s="37" t="s">
        <v>508</v>
      </c>
      <c r="B282" s="37" t="s">
        <v>308</v>
      </c>
      <c r="C282" s="37">
        <v>64.0</v>
      </c>
      <c r="D282" s="37">
        <v>1.511062404E10</v>
      </c>
      <c r="E282" s="37">
        <v>2.40002091E8</v>
      </c>
      <c r="F282" s="37" t="s">
        <v>603</v>
      </c>
      <c r="G282" s="40" t="str">
        <f t="shared" si="14"/>
        <v>OK</v>
      </c>
      <c r="H282" s="40">
        <f t="shared" si="15"/>
        <v>15</v>
      </c>
      <c r="I282" s="40">
        <f t="shared" si="16"/>
        <v>285</v>
      </c>
      <c r="J282" s="40">
        <f t="shared" si="17"/>
        <v>0</v>
      </c>
      <c r="K282" s="40"/>
      <c r="L282" s="42">
        <v>1.0</v>
      </c>
      <c r="M282" s="42">
        <v>1.0</v>
      </c>
      <c r="N282" s="42">
        <v>1.0</v>
      </c>
      <c r="O282" s="42">
        <v>0.9545</v>
      </c>
      <c r="P282" s="42">
        <v>1.0</v>
      </c>
      <c r="Q282" s="42">
        <v>0.913</v>
      </c>
      <c r="R282" s="42">
        <v>1.0</v>
      </c>
      <c r="S282" s="42">
        <v>0.9583</v>
      </c>
      <c r="T282" s="41">
        <v>0.7727</v>
      </c>
      <c r="U282" s="41">
        <v>0.9091</v>
      </c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ht="15.75" customHeight="1">
      <c r="A283" s="37" t="s">
        <v>508</v>
      </c>
      <c r="B283" s="37" t="s">
        <v>308</v>
      </c>
      <c r="C283" s="37">
        <v>65.0</v>
      </c>
      <c r="D283" s="37">
        <v>1.5110624152E10</v>
      </c>
      <c r="E283" s="37">
        <v>2.40002093E8</v>
      </c>
      <c r="F283" s="37" t="s">
        <v>604</v>
      </c>
      <c r="G283" s="40" t="str">
        <f t="shared" si="14"/>
        <v>OK</v>
      </c>
      <c r="H283" s="40">
        <f t="shared" si="15"/>
        <v>15</v>
      </c>
      <c r="I283" s="40">
        <f t="shared" si="16"/>
        <v>284</v>
      </c>
      <c r="J283" s="40">
        <f t="shared" si="17"/>
        <v>0</v>
      </c>
      <c r="K283" s="40"/>
      <c r="L283" s="42">
        <v>1.0</v>
      </c>
      <c r="M283" s="42">
        <v>0.7895</v>
      </c>
      <c r="N283" s="42">
        <v>1.0</v>
      </c>
      <c r="O283" s="42">
        <v>0.8182</v>
      </c>
      <c r="P283" s="42">
        <v>0.9545</v>
      </c>
      <c r="Q283" s="42">
        <v>1.0</v>
      </c>
      <c r="R283" s="42">
        <v>0.9091</v>
      </c>
      <c r="S283" s="42">
        <v>1.0</v>
      </c>
      <c r="T283" s="41">
        <v>1.0</v>
      </c>
      <c r="U283" s="41">
        <v>1.0</v>
      </c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ht="15.75" customHeight="1">
      <c r="A284" s="37" t="s">
        <v>508</v>
      </c>
      <c r="B284" s="37" t="s">
        <v>308</v>
      </c>
      <c r="C284" s="37">
        <v>66.0</v>
      </c>
      <c r="D284" s="37">
        <v>1.5110624008E10</v>
      </c>
      <c r="E284" s="37">
        <v>2.40002094E8</v>
      </c>
      <c r="F284" s="37" t="s">
        <v>605</v>
      </c>
      <c r="G284" s="40" t="str">
        <f t="shared" si="14"/>
        <v>OK</v>
      </c>
      <c r="H284" s="40">
        <f t="shared" si="15"/>
        <v>4</v>
      </c>
      <c r="I284" s="40">
        <f t="shared" si="16"/>
        <v>253</v>
      </c>
      <c r="J284" s="40">
        <f t="shared" si="17"/>
        <v>0</v>
      </c>
      <c r="K284" s="40"/>
      <c r="L284" s="42">
        <v>0.4545</v>
      </c>
      <c r="M284" s="42">
        <v>1.0</v>
      </c>
      <c r="N284" s="42">
        <v>1.0</v>
      </c>
      <c r="O284" s="42">
        <v>1.0</v>
      </c>
      <c r="P284" s="42">
        <v>1.0</v>
      </c>
      <c r="Q284" s="42">
        <v>0.6957</v>
      </c>
      <c r="R284" s="42">
        <v>0.4091</v>
      </c>
      <c r="S284" s="42">
        <v>0.9167</v>
      </c>
      <c r="T284" s="41">
        <v>1.0</v>
      </c>
      <c r="U284" s="41">
        <v>0.9545</v>
      </c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ht="15.75" customHeight="1">
      <c r="A285" s="37" t="s">
        <v>508</v>
      </c>
      <c r="B285" s="37" t="s">
        <v>308</v>
      </c>
      <c r="C285" s="37">
        <v>67.0</v>
      </c>
      <c r="D285" s="37">
        <v>1.5110624061E10</v>
      </c>
      <c r="E285" s="37">
        <v>2.40002095E8</v>
      </c>
      <c r="F285" s="37" t="s">
        <v>606</v>
      </c>
      <c r="G285" s="40" t="str">
        <f t="shared" si="14"/>
        <v>Pending</v>
      </c>
      <c r="H285" s="40">
        <f t="shared" si="15"/>
        <v>-11</v>
      </c>
      <c r="I285" s="40">
        <f t="shared" si="16"/>
        <v>206</v>
      </c>
      <c r="J285" s="40">
        <f t="shared" si="17"/>
        <v>34</v>
      </c>
      <c r="K285" s="40"/>
      <c r="L285" s="42">
        <v>0.4091</v>
      </c>
      <c r="M285" s="42">
        <v>0.7368</v>
      </c>
      <c r="N285" s="42">
        <v>0.6364</v>
      </c>
      <c r="O285" s="42">
        <v>0.8182</v>
      </c>
      <c r="P285" s="42">
        <v>0.6818</v>
      </c>
      <c r="Q285" s="42">
        <v>0.7391</v>
      </c>
      <c r="R285" s="42">
        <v>0.8182</v>
      </c>
      <c r="S285" s="42">
        <v>0.7917</v>
      </c>
      <c r="T285" s="41">
        <v>0.7273</v>
      </c>
      <c r="U285" s="41">
        <v>0.5</v>
      </c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ht="15.75" customHeight="1">
      <c r="A286" s="37" t="s">
        <v>508</v>
      </c>
      <c r="B286" s="37" t="s">
        <v>308</v>
      </c>
      <c r="C286" s="37">
        <v>68.0</v>
      </c>
      <c r="D286" s="37">
        <v>1.5110624047E10</v>
      </c>
      <c r="E286" s="37">
        <v>2.40002096E8</v>
      </c>
      <c r="F286" s="37" t="s">
        <v>607</v>
      </c>
      <c r="G286" s="40" t="str">
        <f t="shared" si="14"/>
        <v>OK</v>
      </c>
      <c r="H286" s="40">
        <f t="shared" si="15"/>
        <v>9</v>
      </c>
      <c r="I286" s="40">
        <f t="shared" si="16"/>
        <v>267</v>
      </c>
      <c r="J286" s="40">
        <f t="shared" si="17"/>
        <v>0</v>
      </c>
      <c r="K286" s="40"/>
      <c r="L286" s="42">
        <v>1.0</v>
      </c>
      <c r="M286" s="42">
        <v>0.6842</v>
      </c>
      <c r="N286" s="42">
        <v>0.9545</v>
      </c>
      <c r="O286" s="42">
        <v>1.0</v>
      </c>
      <c r="P286" s="42">
        <v>1.0</v>
      </c>
      <c r="Q286" s="42">
        <v>0.7391</v>
      </c>
      <c r="R286" s="42">
        <v>0.7727</v>
      </c>
      <c r="S286" s="42">
        <v>0.9167</v>
      </c>
      <c r="T286" s="41">
        <v>1.0</v>
      </c>
      <c r="U286" s="41">
        <v>0.8182</v>
      </c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ht="15.75" customHeight="1">
      <c r="A287" s="37" t="s">
        <v>508</v>
      </c>
      <c r="B287" s="37" t="s">
        <v>308</v>
      </c>
      <c r="C287" s="37">
        <v>69.0</v>
      </c>
      <c r="D287" s="37">
        <v>1.5110624027E10</v>
      </c>
      <c r="E287" s="37">
        <v>2.40002099E8</v>
      </c>
      <c r="F287" s="37" t="s">
        <v>608</v>
      </c>
      <c r="G287" s="40" t="str">
        <f t="shared" si="14"/>
        <v>Pending</v>
      </c>
      <c r="H287" s="40">
        <f t="shared" si="15"/>
        <v>-11</v>
      </c>
      <c r="I287" s="40">
        <f t="shared" si="16"/>
        <v>208</v>
      </c>
      <c r="J287" s="40">
        <f t="shared" si="17"/>
        <v>32</v>
      </c>
      <c r="K287" s="40"/>
      <c r="L287" s="42">
        <v>0.3182</v>
      </c>
      <c r="M287" s="42">
        <v>0.8421</v>
      </c>
      <c r="N287" s="42">
        <v>0.7727</v>
      </c>
      <c r="O287" s="42">
        <v>0.9545</v>
      </c>
      <c r="P287" s="42">
        <v>0.8636</v>
      </c>
      <c r="Q287" s="42">
        <v>0.7391</v>
      </c>
      <c r="R287" s="42">
        <v>0.6818</v>
      </c>
      <c r="S287" s="42">
        <v>0.5833</v>
      </c>
      <c r="T287" s="41">
        <v>0.2273</v>
      </c>
      <c r="U287" s="41">
        <v>0.9545</v>
      </c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ht="15.75" customHeight="1">
      <c r="A288" s="37" t="s">
        <v>508</v>
      </c>
      <c r="B288" s="37" t="s">
        <v>308</v>
      </c>
      <c r="C288" s="37">
        <v>70.0</v>
      </c>
      <c r="D288" s="37">
        <v>1.5110624066E10</v>
      </c>
      <c r="E288" s="37">
        <v>2.40002102E8</v>
      </c>
      <c r="F288" s="37" t="s">
        <v>609</v>
      </c>
      <c r="G288" s="40" t="str">
        <f t="shared" si="14"/>
        <v>OK</v>
      </c>
      <c r="H288" s="40">
        <f t="shared" si="15"/>
        <v>12</v>
      </c>
      <c r="I288" s="40">
        <f t="shared" si="16"/>
        <v>275</v>
      </c>
      <c r="J288" s="40">
        <f t="shared" si="17"/>
        <v>0</v>
      </c>
      <c r="K288" s="40"/>
      <c r="L288" s="42">
        <v>0.7273</v>
      </c>
      <c r="M288" s="42">
        <v>1.0</v>
      </c>
      <c r="N288" s="42">
        <v>1.0</v>
      </c>
      <c r="O288" s="42">
        <v>1.0</v>
      </c>
      <c r="P288" s="42">
        <v>1.0</v>
      </c>
      <c r="Q288" s="42">
        <v>0.7391</v>
      </c>
      <c r="R288" s="42">
        <v>0.7727</v>
      </c>
      <c r="S288" s="42">
        <v>0.9167</v>
      </c>
      <c r="T288" s="41">
        <v>1.0</v>
      </c>
      <c r="U288" s="41">
        <v>1.0</v>
      </c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ht="15.75" customHeight="1">
      <c r="A289" s="37" t="s">
        <v>508</v>
      </c>
      <c r="B289" s="37" t="s">
        <v>308</v>
      </c>
      <c r="C289" s="37">
        <v>71.0</v>
      </c>
      <c r="D289" s="37">
        <v>1.5110624173E10</v>
      </c>
      <c r="E289" s="37">
        <v>2.40002104E8</v>
      </c>
      <c r="F289" s="37" t="s">
        <v>610</v>
      </c>
      <c r="G289" s="40" t="str">
        <f t="shared" si="14"/>
        <v>Pending</v>
      </c>
      <c r="H289" s="40">
        <f t="shared" si="15"/>
        <v>-3</v>
      </c>
      <c r="I289" s="40">
        <f t="shared" si="16"/>
        <v>230</v>
      </c>
      <c r="J289" s="40">
        <f t="shared" si="17"/>
        <v>10</v>
      </c>
      <c r="K289" s="40"/>
      <c r="L289" s="42">
        <v>0.8182</v>
      </c>
      <c r="M289" s="42">
        <v>1.0</v>
      </c>
      <c r="N289" s="42">
        <v>1.0</v>
      </c>
      <c r="O289" s="42">
        <v>0.8182</v>
      </c>
      <c r="P289" s="42">
        <v>0.8182</v>
      </c>
      <c r="Q289" s="42">
        <v>0.7391</v>
      </c>
      <c r="R289" s="42">
        <v>0.4091</v>
      </c>
      <c r="S289" s="42">
        <v>0.7083</v>
      </c>
      <c r="T289" s="41">
        <v>0.4091</v>
      </c>
      <c r="U289" s="41">
        <v>0.9545</v>
      </c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ht="15.75" customHeight="1">
      <c r="A290" s="37" t="s">
        <v>508</v>
      </c>
      <c r="B290" s="37" t="s">
        <v>308</v>
      </c>
      <c r="C290" s="37">
        <v>72.0</v>
      </c>
      <c r="D290" s="37">
        <v>1.5110624157E10</v>
      </c>
      <c r="E290" s="37">
        <v>2.40002105E8</v>
      </c>
      <c r="F290" s="37" t="s">
        <v>611</v>
      </c>
      <c r="G290" s="40" t="str">
        <f t="shared" si="14"/>
        <v>Pending</v>
      </c>
      <c r="H290" s="40">
        <f t="shared" si="15"/>
        <v>-2</v>
      </c>
      <c r="I290" s="40">
        <f t="shared" si="16"/>
        <v>233</v>
      </c>
      <c r="J290" s="40">
        <f t="shared" si="17"/>
        <v>7</v>
      </c>
      <c r="K290" s="40"/>
      <c r="L290" s="42">
        <v>0.9545</v>
      </c>
      <c r="M290" s="42">
        <v>0.8421</v>
      </c>
      <c r="N290" s="42">
        <v>0.8182</v>
      </c>
      <c r="O290" s="42">
        <v>1.0</v>
      </c>
      <c r="P290" s="42">
        <v>1.0</v>
      </c>
      <c r="Q290" s="42">
        <v>0.7826</v>
      </c>
      <c r="R290" s="42">
        <v>0.3636</v>
      </c>
      <c r="S290" s="42">
        <v>0.5417</v>
      </c>
      <c r="T290" s="41">
        <v>0.6818</v>
      </c>
      <c r="U290" s="41">
        <v>0.7727</v>
      </c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ht="15.75" customHeight="1">
      <c r="A291" s="37" t="s">
        <v>508</v>
      </c>
      <c r="B291" s="37" t="s">
        <v>308</v>
      </c>
      <c r="C291" s="37">
        <v>73.0</v>
      </c>
      <c r="D291" s="37">
        <v>1.5110624145E10</v>
      </c>
      <c r="E291" s="37">
        <v>2.40002106E8</v>
      </c>
      <c r="F291" s="37" t="s">
        <v>612</v>
      </c>
      <c r="G291" s="40" t="str">
        <f t="shared" si="14"/>
        <v>Pending</v>
      </c>
      <c r="H291" s="40">
        <f t="shared" si="15"/>
        <v>-1</v>
      </c>
      <c r="I291" s="40">
        <f t="shared" si="16"/>
        <v>238</v>
      </c>
      <c r="J291" s="40">
        <f t="shared" si="17"/>
        <v>2</v>
      </c>
      <c r="K291" s="40"/>
      <c r="L291" s="42">
        <v>0.0455</v>
      </c>
      <c r="M291" s="42">
        <v>0.6842</v>
      </c>
      <c r="N291" s="42">
        <v>0.9091</v>
      </c>
      <c r="O291" s="42">
        <v>0.9545</v>
      </c>
      <c r="P291" s="42">
        <v>0.9545</v>
      </c>
      <c r="Q291" s="42">
        <v>0.913</v>
      </c>
      <c r="R291" s="42">
        <v>1.0</v>
      </c>
      <c r="S291" s="42">
        <v>0.9167</v>
      </c>
      <c r="T291" s="41">
        <v>0.8182</v>
      </c>
      <c r="U291" s="41">
        <v>0.7273</v>
      </c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ht="15.75" customHeight="1">
      <c r="A292" s="37" t="s">
        <v>508</v>
      </c>
      <c r="B292" s="37" t="s">
        <v>308</v>
      </c>
      <c r="C292" s="37">
        <v>74.0</v>
      </c>
      <c r="D292" s="37">
        <v>1.5110625145E10</v>
      </c>
      <c r="E292" s="37">
        <v>2.51002001E8</v>
      </c>
      <c r="F292" s="37" t="s">
        <v>613</v>
      </c>
      <c r="G292" s="40" t="str">
        <f t="shared" si="14"/>
        <v>Pending</v>
      </c>
      <c r="H292" s="40">
        <f t="shared" si="15"/>
        <v>-1</v>
      </c>
      <c r="I292" s="40">
        <f t="shared" si="16"/>
        <v>238</v>
      </c>
      <c r="J292" s="40">
        <f t="shared" si="17"/>
        <v>2</v>
      </c>
      <c r="K292" s="40"/>
      <c r="L292" s="42">
        <v>0.7727</v>
      </c>
      <c r="M292" s="42">
        <v>0.7895</v>
      </c>
      <c r="N292" s="42">
        <v>1.0</v>
      </c>
      <c r="O292" s="42">
        <v>0.7273</v>
      </c>
      <c r="P292" s="42">
        <v>0.9545</v>
      </c>
      <c r="Q292" s="42">
        <v>0.6522</v>
      </c>
      <c r="R292" s="42">
        <v>0.7273</v>
      </c>
      <c r="S292" s="42">
        <v>0.6667</v>
      </c>
      <c r="T292" s="41">
        <v>0.8182</v>
      </c>
      <c r="U292" s="41">
        <v>0.8182</v>
      </c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ht="15.75" customHeight="1">
      <c r="A293" s="37" t="s">
        <v>508</v>
      </c>
      <c r="B293" s="37" t="s">
        <v>308</v>
      </c>
      <c r="C293" s="37">
        <v>75.0</v>
      </c>
      <c r="D293" s="37">
        <v>1.5110625126E10</v>
      </c>
      <c r="E293" s="37">
        <v>2.51002004E8</v>
      </c>
      <c r="F293" s="37" t="s">
        <v>614</v>
      </c>
      <c r="G293" s="40" t="str">
        <f t="shared" si="14"/>
        <v>Pending</v>
      </c>
      <c r="H293" s="40">
        <f t="shared" si="15"/>
        <v>-4</v>
      </c>
      <c r="I293" s="40">
        <f t="shared" si="16"/>
        <v>229</v>
      </c>
      <c r="J293" s="40">
        <f t="shared" si="17"/>
        <v>11</v>
      </c>
      <c r="K293" s="40"/>
      <c r="L293" s="42">
        <v>1.0</v>
      </c>
      <c r="M293" s="42">
        <v>1.0</v>
      </c>
      <c r="N293" s="42">
        <v>0.6364</v>
      </c>
      <c r="O293" s="42">
        <v>0.7727</v>
      </c>
      <c r="P293" s="42">
        <v>0.3636</v>
      </c>
      <c r="Q293" s="42">
        <v>0.7826</v>
      </c>
      <c r="R293" s="42">
        <v>0.9545</v>
      </c>
      <c r="S293" s="42">
        <v>0.6667</v>
      </c>
      <c r="T293" s="41">
        <v>0.6364</v>
      </c>
      <c r="U293" s="41">
        <v>0.8182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ht="15.75" customHeight="1">
      <c r="A294" s="37" t="s">
        <v>508</v>
      </c>
      <c r="B294" s="37" t="s">
        <v>308</v>
      </c>
      <c r="C294" s="37">
        <v>76.0</v>
      </c>
      <c r="D294" s="37">
        <v>1.5110625038E10</v>
      </c>
      <c r="E294" s="37">
        <v>2.5100201E8</v>
      </c>
      <c r="F294" s="37" t="s">
        <v>615</v>
      </c>
      <c r="G294" s="40" t="str">
        <f t="shared" si="14"/>
        <v>Pending</v>
      </c>
      <c r="H294" s="40">
        <f t="shared" si="15"/>
        <v>-54</v>
      </c>
      <c r="I294" s="40">
        <f t="shared" si="16"/>
        <v>78</v>
      </c>
      <c r="J294" s="40">
        <f t="shared" si="17"/>
        <v>162</v>
      </c>
      <c r="K294" s="40"/>
      <c r="L294" s="42">
        <v>0.0455</v>
      </c>
      <c r="M294" s="42">
        <v>0.0</v>
      </c>
      <c r="N294" s="42">
        <v>0.7727</v>
      </c>
      <c r="O294" s="42">
        <v>0.5</v>
      </c>
      <c r="P294" s="42">
        <v>0.0</v>
      </c>
      <c r="Q294" s="42">
        <v>0.087</v>
      </c>
      <c r="R294" s="42">
        <v>0.4091</v>
      </c>
      <c r="S294" s="42">
        <v>0.3333</v>
      </c>
      <c r="T294" s="41">
        <v>0.0</v>
      </c>
      <c r="U294" s="41">
        <v>0.4545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ht="15.75" customHeight="1">
      <c r="A295" s="37" t="s">
        <v>508</v>
      </c>
      <c r="B295" s="37" t="s">
        <v>308</v>
      </c>
      <c r="C295" s="37">
        <v>77.0</v>
      </c>
      <c r="D295" s="37">
        <v>1.5110625047E10</v>
      </c>
      <c r="E295" s="37">
        <v>2.51002011E8</v>
      </c>
      <c r="F295" s="37" t="s">
        <v>616</v>
      </c>
      <c r="G295" s="40" t="str">
        <f t="shared" si="14"/>
        <v>OK</v>
      </c>
      <c r="H295" s="40">
        <f t="shared" si="15"/>
        <v>20</v>
      </c>
      <c r="I295" s="40">
        <f t="shared" si="16"/>
        <v>299</v>
      </c>
      <c r="J295" s="40">
        <f t="shared" si="17"/>
        <v>0</v>
      </c>
      <c r="K295" s="40"/>
      <c r="L295" s="42">
        <v>1.0</v>
      </c>
      <c r="M295" s="42">
        <v>1.0</v>
      </c>
      <c r="N295" s="42">
        <v>1.0</v>
      </c>
      <c r="O295" s="42">
        <v>1.0</v>
      </c>
      <c r="P295" s="42">
        <v>0.9545</v>
      </c>
      <c r="Q295" s="42">
        <v>1.0</v>
      </c>
      <c r="R295" s="42">
        <v>1.0</v>
      </c>
      <c r="S295" s="42">
        <v>1.0</v>
      </c>
      <c r="T295" s="41">
        <v>1.0</v>
      </c>
      <c r="U295" s="41">
        <v>1.0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ht="15.75" customHeight="1">
      <c r="A296" s="37" t="s">
        <v>508</v>
      </c>
      <c r="B296" s="37" t="s">
        <v>308</v>
      </c>
      <c r="C296" s="37">
        <v>78.0</v>
      </c>
      <c r="D296" s="37">
        <v>1.5110625041E10</v>
      </c>
      <c r="E296" s="37">
        <v>2.51002013E8</v>
      </c>
      <c r="F296" s="37" t="s">
        <v>617</v>
      </c>
      <c r="G296" s="40" t="str">
        <f t="shared" si="14"/>
        <v>Pending</v>
      </c>
      <c r="H296" s="40">
        <f t="shared" si="15"/>
        <v>-26</v>
      </c>
      <c r="I296" s="40">
        <f t="shared" si="16"/>
        <v>163</v>
      </c>
      <c r="J296" s="40">
        <f t="shared" si="17"/>
        <v>77</v>
      </c>
      <c r="K296" s="40"/>
      <c r="L296" s="42">
        <v>0.4545</v>
      </c>
      <c r="M296" s="42">
        <v>0.8421</v>
      </c>
      <c r="N296" s="42">
        <v>0.7273</v>
      </c>
      <c r="O296" s="42">
        <v>0.4545</v>
      </c>
      <c r="P296" s="42">
        <v>0.6364</v>
      </c>
      <c r="Q296" s="42">
        <v>0.3913</v>
      </c>
      <c r="R296" s="42">
        <v>0.6364</v>
      </c>
      <c r="S296" s="42">
        <v>0.4167</v>
      </c>
      <c r="T296" s="41">
        <v>0.3182</v>
      </c>
      <c r="U296" s="41">
        <v>0.5455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ht="15.75" customHeight="1">
      <c r="A297" s="29" t="s">
        <v>6</v>
      </c>
      <c r="B297" s="29" t="s">
        <v>7</v>
      </c>
      <c r="C297" s="29" t="s">
        <v>8</v>
      </c>
      <c r="D297" s="29" t="s">
        <v>9</v>
      </c>
      <c r="E297" s="29" t="s">
        <v>10</v>
      </c>
      <c r="F297" s="29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6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ht="15.75" customHeight="1">
      <c r="A298" s="37" t="s">
        <v>618</v>
      </c>
      <c r="B298" s="37" t="s">
        <v>619</v>
      </c>
      <c r="C298" s="37">
        <v>57.0</v>
      </c>
      <c r="D298" s="37">
        <v>1.5110625042E10</v>
      </c>
      <c r="E298" s="37">
        <v>2.51002014E8</v>
      </c>
      <c r="F298" s="37" t="s">
        <v>620</v>
      </c>
      <c r="G298" s="40" t="str">
        <f t="shared" ref="G298:G319" si="18">IF(H298&gt;=0,"OK",IF(K298&gt;=J298,"Completed","Pending"))</f>
        <v>Pending</v>
      </c>
      <c r="H298" s="40">
        <f t="shared" ref="H298:H319" si="19">round((((((L298*100)*$L$5)+((M298*100)*$M$5)+((N298*100)*$N$5)+((O298*100)*$O$5)+((P298*100)*$P$5)+((Q298*100)*$Q$5)+((R298*100)*$R$5)+((S298*100)*$S$5)+((T298*100)*$T$5)+((U298*100)*$U$5)+((V298*100)*$V$5)+((W298*100)*$W$5)+((X298*100)*$X$5)+((Y298*100)*$Y$5)+((Z298*100)*$Z$5)++((W298*100)*$W$5)+((AA298*100)*$AA$5))/($L$5+$M$5+$N$5+$O$5+$P$5+$Q$5+$R$5+$S$5+$T$5+$V$5+$U$5+$W$5+$X$5+$Y$5+$Z$5+$AA$5))-80),0)</f>
        <v>-33</v>
      </c>
      <c r="I298" s="40">
        <f t="shared" ref="I298:I319" si="20">round(30*((L298*$L$5)+(M298*$M$5)+(N298*$N$5)+(O298*$O$5)+(P298*$P$5)+(Q298*$Q$5)+(R298*$R$5)+(S298*$S$5)+(T298*$T$5)+(U298*$U$5)+(V298*$V$5)+(W298*$W$5)+(X298*$X$5)+(Y298*$Y$5)+(Z298*$Z$5)+(AA298*$AA$5)),0)</f>
        <v>140</v>
      </c>
      <c r="J298" s="40">
        <f t="shared" ref="J298:J319" si="21">if(I298&lt;(24*($L$5+$M$5+$N$5+$O$5+$P$5+$Q$5+$R$5+$S$5+$T$5+$V$5+$U$5+$W$5+$X$5+$Y$5+$Z$5+$AA$5)),abs(I298-(24*($L$5+$M$5+$N$5+$O$5+$P$5+$Q$5+$R$5+$S$5+$T$5+$V$5+$U$5+$W$5+$X$5+$Y$5+$Z$5+$AA$5))),0)</f>
        <v>100</v>
      </c>
      <c r="K298" s="40"/>
      <c r="L298" s="42">
        <v>0.1364</v>
      </c>
      <c r="M298" s="42">
        <v>0.0556</v>
      </c>
      <c r="N298" s="42">
        <v>0.8636</v>
      </c>
      <c r="O298" s="42">
        <v>0.4545</v>
      </c>
      <c r="P298" s="42">
        <v>0.7143</v>
      </c>
      <c r="Q298" s="42">
        <v>0.4762</v>
      </c>
      <c r="R298" s="42">
        <v>0.4545</v>
      </c>
      <c r="S298" s="42">
        <v>0.3182</v>
      </c>
      <c r="T298" s="41">
        <v>0.4348</v>
      </c>
      <c r="U298" s="41">
        <v>0.7727</v>
      </c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ht="15.75" customHeight="1">
      <c r="A299" s="37" t="s">
        <v>618</v>
      </c>
      <c r="B299" s="37" t="s">
        <v>619</v>
      </c>
      <c r="C299" s="37">
        <v>58.0</v>
      </c>
      <c r="D299" s="37">
        <v>1.5110625132E10</v>
      </c>
      <c r="E299" s="37">
        <v>2.51002017E8</v>
      </c>
      <c r="F299" s="37" t="s">
        <v>621</v>
      </c>
      <c r="G299" s="40" t="str">
        <f t="shared" si="18"/>
        <v>Pending</v>
      </c>
      <c r="H299" s="40">
        <f t="shared" si="19"/>
        <v>-5</v>
      </c>
      <c r="I299" s="40">
        <f t="shared" si="20"/>
        <v>226</v>
      </c>
      <c r="J299" s="40">
        <f t="shared" si="21"/>
        <v>14</v>
      </c>
      <c r="K299" s="40"/>
      <c r="L299" s="42">
        <v>0.6364</v>
      </c>
      <c r="M299" s="42">
        <v>0.4444</v>
      </c>
      <c r="N299" s="42">
        <v>0.7273</v>
      </c>
      <c r="O299" s="42">
        <v>0.9091</v>
      </c>
      <c r="P299" s="42">
        <v>0.9048</v>
      </c>
      <c r="Q299" s="42">
        <v>0.9524</v>
      </c>
      <c r="R299" s="42">
        <v>0.8636</v>
      </c>
      <c r="S299" s="42">
        <v>0.6364</v>
      </c>
      <c r="T299" s="41">
        <v>0.8261</v>
      </c>
      <c r="U299" s="41">
        <v>0.6364</v>
      </c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ht="15.75" customHeight="1">
      <c r="A300" s="37" t="s">
        <v>618</v>
      </c>
      <c r="B300" s="37" t="s">
        <v>619</v>
      </c>
      <c r="C300" s="37">
        <v>59.0</v>
      </c>
      <c r="D300" s="37">
        <v>1.5110625045E10</v>
      </c>
      <c r="E300" s="37">
        <v>2.51002018E8</v>
      </c>
      <c r="F300" s="37" t="s">
        <v>622</v>
      </c>
      <c r="G300" s="40" t="str">
        <f t="shared" si="18"/>
        <v>OK</v>
      </c>
      <c r="H300" s="40">
        <f t="shared" si="19"/>
        <v>5</v>
      </c>
      <c r="I300" s="40">
        <f t="shared" si="20"/>
        <v>254</v>
      </c>
      <c r="J300" s="40">
        <f t="shared" si="21"/>
        <v>0</v>
      </c>
      <c r="K300" s="40"/>
      <c r="L300" s="42">
        <v>1.0</v>
      </c>
      <c r="M300" s="42">
        <v>0.9444</v>
      </c>
      <c r="N300" s="42">
        <v>0.6818</v>
      </c>
      <c r="O300" s="42">
        <v>0.0455</v>
      </c>
      <c r="P300" s="42">
        <v>0.8095</v>
      </c>
      <c r="Q300" s="42">
        <v>1.0</v>
      </c>
      <c r="R300" s="42">
        <v>1.0</v>
      </c>
      <c r="S300" s="42">
        <v>1.0</v>
      </c>
      <c r="T300" s="41">
        <v>1.0</v>
      </c>
      <c r="U300" s="41">
        <v>1.0</v>
      </c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ht="15.75" customHeight="1">
      <c r="A301" s="37" t="s">
        <v>618</v>
      </c>
      <c r="B301" s="37" t="s">
        <v>619</v>
      </c>
      <c r="C301" s="37">
        <v>60.0</v>
      </c>
      <c r="D301" s="37">
        <v>1.5110625029E10</v>
      </c>
      <c r="E301" s="37">
        <v>2.51002019E8</v>
      </c>
      <c r="F301" s="37" t="s">
        <v>623</v>
      </c>
      <c r="G301" s="40" t="str">
        <f t="shared" si="18"/>
        <v>Pending</v>
      </c>
      <c r="H301" s="40">
        <f t="shared" si="19"/>
        <v>-3</v>
      </c>
      <c r="I301" s="40">
        <f t="shared" si="20"/>
        <v>230</v>
      </c>
      <c r="J301" s="40">
        <f t="shared" si="21"/>
        <v>10</v>
      </c>
      <c r="K301" s="40"/>
      <c r="L301" s="42">
        <v>0.2273</v>
      </c>
      <c r="M301" s="42">
        <v>0.8889</v>
      </c>
      <c r="N301" s="42">
        <v>0.4091</v>
      </c>
      <c r="O301" s="42">
        <v>0.9091</v>
      </c>
      <c r="P301" s="42">
        <v>0.9048</v>
      </c>
      <c r="Q301" s="42">
        <v>0.8571</v>
      </c>
      <c r="R301" s="42">
        <v>0.7273</v>
      </c>
      <c r="S301" s="42">
        <v>0.8182</v>
      </c>
      <c r="T301" s="41">
        <v>1.0</v>
      </c>
      <c r="U301" s="41">
        <v>0.9091</v>
      </c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ht="15.75" customHeight="1">
      <c r="A302" s="37" t="s">
        <v>618</v>
      </c>
      <c r="B302" s="37" t="s">
        <v>619</v>
      </c>
      <c r="C302" s="37">
        <v>61.0</v>
      </c>
      <c r="D302" s="37">
        <v>1.5110625043E10</v>
      </c>
      <c r="E302" s="37">
        <v>2.5100202E8</v>
      </c>
      <c r="F302" s="37" t="s">
        <v>624</v>
      </c>
      <c r="G302" s="40" t="str">
        <f t="shared" si="18"/>
        <v>OK</v>
      </c>
      <c r="H302" s="40">
        <f t="shared" si="19"/>
        <v>17</v>
      </c>
      <c r="I302" s="40">
        <f t="shared" si="20"/>
        <v>292</v>
      </c>
      <c r="J302" s="40">
        <f t="shared" si="21"/>
        <v>0</v>
      </c>
      <c r="K302" s="40"/>
      <c r="L302" s="42">
        <v>1.0</v>
      </c>
      <c r="M302" s="42">
        <v>0.8333</v>
      </c>
      <c r="N302" s="42">
        <v>1.0</v>
      </c>
      <c r="O302" s="42">
        <v>0.9545</v>
      </c>
      <c r="P302" s="42">
        <v>0.9524</v>
      </c>
      <c r="Q302" s="42">
        <v>1.0</v>
      </c>
      <c r="R302" s="42">
        <v>1.0</v>
      </c>
      <c r="S302" s="42">
        <v>1.0</v>
      </c>
      <c r="T302" s="41">
        <v>1.0</v>
      </c>
      <c r="U302" s="41">
        <v>1.0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ht="15.75" customHeight="1">
      <c r="A303" s="37" t="s">
        <v>618</v>
      </c>
      <c r="B303" s="37" t="s">
        <v>619</v>
      </c>
      <c r="C303" s="37">
        <v>62.0</v>
      </c>
      <c r="D303" s="37">
        <v>1.5110625033E10</v>
      </c>
      <c r="E303" s="37">
        <v>2.51002024E8</v>
      </c>
      <c r="F303" s="37" t="s">
        <v>625</v>
      </c>
      <c r="G303" s="40" t="str">
        <f t="shared" si="18"/>
        <v>Pending</v>
      </c>
      <c r="H303" s="40">
        <f t="shared" si="19"/>
        <v>-26</v>
      </c>
      <c r="I303" s="40">
        <f t="shared" si="20"/>
        <v>161</v>
      </c>
      <c r="J303" s="40">
        <f t="shared" si="21"/>
        <v>79</v>
      </c>
      <c r="K303" s="40"/>
      <c r="L303" s="42">
        <v>0.0909</v>
      </c>
      <c r="M303" s="42">
        <v>0.2778</v>
      </c>
      <c r="N303" s="42">
        <v>0.5909</v>
      </c>
      <c r="O303" s="42">
        <v>0.7273</v>
      </c>
      <c r="P303" s="42">
        <v>0.619</v>
      </c>
      <c r="Q303" s="42">
        <v>0.7619</v>
      </c>
      <c r="R303" s="42">
        <v>0.8636</v>
      </c>
      <c r="S303" s="42">
        <v>0.5455</v>
      </c>
      <c r="T303" s="41">
        <v>0.3913</v>
      </c>
      <c r="U303" s="41">
        <v>0.5</v>
      </c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ht="15.75" customHeight="1">
      <c r="A304" s="37" t="s">
        <v>618</v>
      </c>
      <c r="B304" s="37" t="s">
        <v>619</v>
      </c>
      <c r="C304" s="37">
        <v>63.0</v>
      </c>
      <c r="D304" s="37">
        <v>1.5110625144E10</v>
      </c>
      <c r="E304" s="37">
        <v>2.51002025E8</v>
      </c>
      <c r="F304" s="37" t="s">
        <v>626</v>
      </c>
      <c r="G304" s="40" t="str">
        <f t="shared" si="18"/>
        <v>OK</v>
      </c>
      <c r="H304" s="40">
        <f t="shared" si="19"/>
        <v>14</v>
      </c>
      <c r="I304" s="40">
        <f t="shared" si="20"/>
        <v>283</v>
      </c>
      <c r="J304" s="40">
        <f t="shared" si="21"/>
        <v>0</v>
      </c>
      <c r="K304" s="40"/>
      <c r="L304" s="42">
        <v>1.0</v>
      </c>
      <c r="M304" s="42">
        <v>1.0</v>
      </c>
      <c r="N304" s="42">
        <v>1.0</v>
      </c>
      <c r="O304" s="42">
        <v>0.9545</v>
      </c>
      <c r="P304" s="42">
        <v>0.9524</v>
      </c>
      <c r="Q304" s="42">
        <v>0.8571</v>
      </c>
      <c r="R304" s="42">
        <v>0.9091</v>
      </c>
      <c r="S304" s="42">
        <v>0.9545</v>
      </c>
      <c r="T304" s="41">
        <v>1.0</v>
      </c>
      <c r="U304" s="41">
        <v>0.8182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ht="15.75" customHeight="1">
      <c r="A305" s="37" t="s">
        <v>618</v>
      </c>
      <c r="B305" s="37" t="s">
        <v>619</v>
      </c>
      <c r="C305" s="37">
        <v>64.0</v>
      </c>
      <c r="D305" s="37">
        <v>1.5110625034E10</v>
      </c>
      <c r="E305" s="37">
        <v>2.51002034E8</v>
      </c>
      <c r="F305" s="37" t="s">
        <v>627</v>
      </c>
      <c r="G305" s="40" t="str">
        <f t="shared" si="18"/>
        <v>OK</v>
      </c>
      <c r="H305" s="40">
        <f t="shared" si="19"/>
        <v>12</v>
      </c>
      <c r="I305" s="40">
        <f t="shared" si="20"/>
        <v>277</v>
      </c>
      <c r="J305" s="40">
        <f t="shared" si="21"/>
        <v>0</v>
      </c>
      <c r="K305" s="40"/>
      <c r="L305" s="42">
        <v>0.9091</v>
      </c>
      <c r="M305" s="42">
        <v>1.0</v>
      </c>
      <c r="N305" s="42">
        <v>0.9091</v>
      </c>
      <c r="O305" s="42">
        <v>0.9091</v>
      </c>
      <c r="P305" s="42">
        <v>1.0</v>
      </c>
      <c r="Q305" s="42">
        <v>0.8571</v>
      </c>
      <c r="R305" s="42">
        <v>0.9091</v>
      </c>
      <c r="S305" s="42">
        <v>1.0</v>
      </c>
      <c r="T305" s="41">
        <v>1.0</v>
      </c>
      <c r="U305" s="41">
        <v>0.7273</v>
      </c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ht="15.75" customHeight="1">
      <c r="A306" s="37" t="s">
        <v>618</v>
      </c>
      <c r="B306" s="37" t="s">
        <v>619</v>
      </c>
      <c r="C306" s="37">
        <v>65.0</v>
      </c>
      <c r="D306" s="37">
        <v>1.5110625031E10</v>
      </c>
      <c r="E306" s="37">
        <v>2.51002041E8</v>
      </c>
      <c r="F306" s="37" t="s">
        <v>628</v>
      </c>
      <c r="G306" s="40" t="str">
        <f t="shared" si="18"/>
        <v>OK</v>
      </c>
      <c r="H306" s="40">
        <f t="shared" si="19"/>
        <v>11</v>
      </c>
      <c r="I306" s="40">
        <f t="shared" si="20"/>
        <v>272</v>
      </c>
      <c r="J306" s="40">
        <f t="shared" si="21"/>
        <v>0</v>
      </c>
      <c r="K306" s="40"/>
      <c r="L306" s="42">
        <v>0.9091</v>
      </c>
      <c r="M306" s="42">
        <v>1.0</v>
      </c>
      <c r="N306" s="42">
        <v>0.9091</v>
      </c>
      <c r="O306" s="42">
        <v>0.8636</v>
      </c>
      <c r="P306" s="42">
        <v>0.9048</v>
      </c>
      <c r="Q306" s="42">
        <v>0.8095</v>
      </c>
      <c r="R306" s="42">
        <v>0.9091</v>
      </c>
      <c r="S306" s="42">
        <v>0.9091</v>
      </c>
      <c r="T306" s="41">
        <v>1.0</v>
      </c>
      <c r="U306" s="41">
        <v>0.8636</v>
      </c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ht="15.75" customHeight="1">
      <c r="A307" s="37" t="s">
        <v>618</v>
      </c>
      <c r="B307" s="37" t="s">
        <v>619</v>
      </c>
      <c r="C307" s="37">
        <v>66.0</v>
      </c>
      <c r="D307" s="37">
        <v>1.5110625054E10</v>
      </c>
      <c r="E307" s="37">
        <v>2.51002042E8</v>
      </c>
      <c r="F307" s="37" t="s">
        <v>629</v>
      </c>
      <c r="G307" s="40" t="str">
        <f t="shared" si="18"/>
        <v>OK</v>
      </c>
      <c r="H307" s="40">
        <f t="shared" si="19"/>
        <v>15</v>
      </c>
      <c r="I307" s="40">
        <f t="shared" si="20"/>
        <v>284</v>
      </c>
      <c r="J307" s="40">
        <f t="shared" si="21"/>
        <v>0</v>
      </c>
      <c r="K307" s="40"/>
      <c r="L307" s="42">
        <v>0.5455</v>
      </c>
      <c r="M307" s="42">
        <v>1.0</v>
      </c>
      <c r="N307" s="42">
        <v>1.0</v>
      </c>
      <c r="O307" s="42">
        <v>1.0</v>
      </c>
      <c r="P307" s="42">
        <v>1.0</v>
      </c>
      <c r="Q307" s="42">
        <v>1.0</v>
      </c>
      <c r="R307" s="42">
        <v>0.9091</v>
      </c>
      <c r="S307" s="42">
        <v>1.0</v>
      </c>
      <c r="T307" s="41">
        <v>1.0</v>
      </c>
      <c r="U307" s="41">
        <v>1.0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ht="15.75" customHeight="1">
      <c r="A308" s="37" t="s">
        <v>618</v>
      </c>
      <c r="B308" s="37" t="s">
        <v>619</v>
      </c>
      <c r="C308" s="37">
        <v>67.0</v>
      </c>
      <c r="D308" s="37">
        <v>1.5110625136E10</v>
      </c>
      <c r="E308" s="37">
        <v>2.51002043E8</v>
      </c>
      <c r="F308" s="37" t="s">
        <v>630</v>
      </c>
      <c r="G308" s="40" t="str">
        <f t="shared" si="18"/>
        <v>Pending</v>
      </c>
      <c r="H308" s="40">
        <f t="shared" si="19"/>
        <v>-10</v>
      </c>
      <c r="I308" s="40">
        <f t="shared" si="20"/>
        <v>210</v>
      </c>
      <c r="J308" s="40">
        <f t="shared" si="21"/>
        <v>30</v>
      </c>
      <c r="K308" s="40"/>
      <c r="L308" s="42">
        <v>0.7727</v>
      </c>
      <c r="M308" s="42">
        <v>0.8889</v>
      </c>
      <c r="N308" s="42">
        <v>0.9545</v>
      </c>
      <c r="O308" s="42">
        <v>0.9545</v>
      </c>
      <c r="P308" s="42">
        <v>0.7619</v>
      </c>
      <c r="Q308" s="42">
        <v>0.3333</v>
      </c>
      <c r="R308" s="42">
        <v>0.0455</v>
      </c>
      <c r="S308" s="42">
        <v>0.8636</v>
      </c>
      <c r="T308" s="41">
        <v>0.6087</v>
      </c>
      <c r="U308" s="41">
        <v>0.8182</v>
      </c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ht="15.75" customHeight="1">
      <c r="A309" s="37" t="s">
        <v>618</v>
      </c>
      <c r="B309" s="37" t="s">
        <v>619</v>
      </c>
      <c r="C309" s="37">
        <v>68.0</v>
      </c>
      <c r="D309" s="37">
        <v>1.5110625056E10</v>
      </c>
      <c r="E309" s="37">
        <v>2.51002048E8</v>
      </c>
      <c r="F309" s="37" t="s">
        <v>631</v>
      </c>
      <c r="G309" s="40" t="str">
        <f t="shared" si="18"/>
        <v>OK</v>
      </c>
      <c r="H309" s="40">
        <f t="shared" si="19"/>
        <v>20</v>
      </c>
      <c r="I309" s="40">
        <f t="shared" si="20"/>
        <v>299</v>
      </c>
      <c r="J309" s="40">
        <f t="shared" si="21"/>
        <v>0</v>
      </c>
      <c r="K309" s="40"/>
      <c r="L309" s="42">
        <v>1.0</v>
      </c>
      <c r="M309" s="42">
        <v>1.0</v>
      </c>
      <c r="N309" s="42">
        <v>0.9545</v>
      </c>
      <c r="O309" s="42">
        <v>1.0</v>
      </c>
      <c r="P309" s="42">
        <v>1.0</v>
      </c>
      <c r="Q309" s="42">
        <v>1.0</v>
      </c>
      <c r="R309" s="42">
        <v>1.0</v>
      </c>
      <c r="S309" s="42">
        <v>1.0</v>
      </c>
      <c r="T309" s="41">
        <v>1.0</v>
      </c>
      <c r="U309" s="41">
        <v>1.0</v>
      </c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ht="15.75" customHeight="1">
      <c r="A310" s="37" t="s">
        <v>618</v>
      </c>
      <c r="B310" s="37" t="s">
        <v>619</v>
      </c>
      <c r="C310" s="37">
        <v>69.0</v>
      </c>
      <c r="D310" s="37">
        <v>1.5110625059E10</v>
      </c>
      <c r="E310" s="37">
        <v>2.5100205E8</v>
      </c>
      <c r="F310" s="37" t="s">
        <v>632</v>
      </c>
      <c r="G310" s="40" t="str">
        <f t="shared" si="18"/>
        <v>OK</v>
      </c>
      <c r="H310" s="40">
        <f t="shared" si="19"/>
        <v>9</v>
      </c>
      <c r="I310" s="40">
        <f t="shared" si="20"/>
        <v>267</v>
      </c>
      <c r="J310" s="40">
        <f t="shared" si="21"/>
        <v>0</v>
      </c>
      <c r="K310" s="40"/>
      <c r="L310" s="42">
        <v>0.9545</v>
      </c>
      <c r="M310" s="42">
        <v>0.9444</v>
      </c>
      <c r="N310" s="42">
        <v>1.0</v>
      </c>
      <c r="O310" s="42">
        <v>1.0</v>
      </c>
      <c r="P310" s="42">
        <v>1.0</v>
      </c>
      <c r="Q310" s="42">
        <v>0.6667</v>
      </c>
      <c r="R310" s="42">
        <v>0.7727</v>
      </c>
      <c r="S310" s="42">
        <v>0.9091</v>
      </c>
      <c r="T310" s="41">
        <v>0.7826</v>
      </c>
      <c r="U310" s="41">
        <v>0.8636</v>
      </c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ht="15.75" customHeight="1">
      <c r="A311" s="37" t="s">
        <v>618</v>
      </c>
      <c r="B311" s="37" t="s">
        <v>619</v>
      </c>
      <c r="C311" s="37">
        <v>70.0</v>
      </c>
      <c r="D311" s="37">
        <v>1.5110625138E10</v>
      </c>
      <c r="E311" s="37">
        <v>2.51002051E8</v>
      </c>
      <c r="F311" s="37" t="s">
        <v>633</v>
      </c>
      <c r="G311" s="40" t="str">
        <f t="shared" si="18"/>
        <v>OK</v>
      </c>
      <c r="H311" s="40">
        <f t="shared" si="19"/>
        <v>19</v>
      </c>
      <c r="I311" s="40">
        <f t="shared" si="20"/>
        <v>296</v>
      </c>
      <c r="J311" s="40">
        <f t="shared" si="21"/>
        <v>0</v>
      </c>
      <c r="K311" s="40"/>
      <c r="L311" s="42">
        <v>1.0</v>
      </c>
      <c r="M311" s="42">
        <v>1.0</v>
      </c>
      <c r="N311" s="42">
        <v>1.0</v>
      </c>
      <c r="O311" s="42">
        <v>1.0</v>
      </c>
      <c r="P311" s="42">
        <v>1.0</v>
      </c>
      <c r="Q311" s="42">
        <v>0.8571</v>
      </c>
      <c r="R311" s="42">
        <v>1.0</v>
      </c>
      <c r="S311" s="42">
        <v>1.0</v>
      </c>
      <c r="T311" s="41">
        <v>1.0</v>
      </c>
      <c r="U311" s="41">
        <v>1.0</v>
      </c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ht="15.75" customHeight="1">
      <c r="A312" s="37" t="s">
        <v>618</v>
      </c>
      <c r="B312" s="37" t="s">
        <v>619</v>
      </c>
      <c r="C312" s="37">
        <v>71.0</v>
      </c>
      <c r="D312" s="37">
        <v>1.5110625113E10</v>
      </c>
      <c r="E312" s="37">
        <v>2.51002052E8</v>
      </c>
      <c r="F312" s="37" t="s">
        <v>634</v>
      </c>
      <c r="G312" s="40" t="str">
        <f t="shared" si="18"/>
        <v>OK</v>
      </c>
      <c r="H312" s="40">
        <f t="shared" si="19"/>
        <v>14</v>
      </c>
      <c r="I312" s="40">
        <f t="shared" si="20"/>
        <v>282</v>
      </c>
      <c r="J312" s="40">
        <f t="shared" si="21"/>
        <v>0</v>
      </c>
      <c r="K312" s="40"/>
      <c r="L312" s="42">
        <v>1.0</v>
      </c>
      <c r="M312" s="42">
        <v>0.9444</v>
      </c>
      <c r="N312" s="42">
        <v>0.9091</v>
      </c>
      <c r="O312" s="42">
        <v>1.0</v>
      </c>
      <c r="P312" s="42">
        <v>0.9524</v>
      </c>
      <c r="Q312" s="42">
        <v>0.9048</v>
      </c>
      <c r="R312" s="42">
        <v>0.7273</v>
      </c>
      <c r="S312" s="42">
        <v>0.9545</v>
      </c>
      <c r="T312" s="41">
        <v>1.0</v>
      </c>
      <c r="U312" s="41">
        <v>1.0</v>
      </c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ht="15.75" customHeight="1">
      <c r="A313" s="37" t="s">
        <v>618</v>
      </c>
      <c r="B313" s="37" t="s">
        <v>619</v>
      </c>
      <c r="C313" s="37">
        <v>72.0</v>
      </c>
      <c r="D313" s="37">
        <v>1.5110625114E10</v>
      </c>
      <c r="E313" s="37">
        <v>2.51002053E8</v>
      </c>
      <c r="F313" s="37" t="s">
        <v>635</v>
      </c>
      <c r="G313" s="40" t="str">
        <f t="shared" si="18"/>
        <v>OK</v>
      </c>
      <c r="H313" s="40">
        <f t="shared" si="19"/>
        <v>5</v>
      </c>
      <c r="I313" s="40">
        <f t="shared" si="20"/>
        <v>256</v>
      </c>
      <c r="J313" s="40">
        <f t="shared" si="21"/>
        <v>0</v>
      </c>
      <c r="K313" s="40"/>
      <c r="L313" s="42">
        <v>1.0</v>
      </c>
      <c r="M313" s="42">
        <v>0.4444</v>
      </c>
      <c r="N313" s="42">
        <v>1.0</v>
      </c>
      <c r="O313" s="42">
        <v>0.5455</v>
      </c>
      <c r="P313" s="42">
        <v>0.9048</v>
      </c>
      <c r="Q313" s="42">
        <v>1.0</v>
      </c>
      <c r="R313" s="42">
        <v>0.6818</v>
      </c>
      <c r="S313" s="42">
        <v>0.9545</v>
      </c>
      <c r="T313" s="41">
        <v>1.0</v>
      </c>
      <c r="U313" s="41">
        <v>1.0</v>
      </c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ht="15.75" customHeight="1">
      <c r="A314" s="37" t="s">
        <v>618</v>
      </c>
      <c r="B314" s="37" t="s">
        <v>619</v>
      </c>
      <c r="C314" s="37">
        <v>73.0</v>
      </c>
      <c r="D314" s="37">
        <v>1.5110625057E10</v>
      </c>
      <c r="E314" s="37">
        <v>2.51002054E8</v>
      </c>
      <c r="F314" s="37" t="s">
        <v>636</v>
      </c>
      <c r="G314" s="40" t="str">
        <f t="shared" si="18"/>
        <v>Pending</v>
      </c>
      <c r="H314" s="40">
        <f t="shared" si="19"/>
        <v>-14</v>
      </c>
      <c r="I314" s="40">
        <f t="shared" si="20"/>
        <v>198</v>
      </c>
      <c r="J314" s="40">
        <f t="shared" si="21"/>
        <v>42</v>
      </c>
      <c r="K314" s="40"/>
      <c r="L314" s="42">
        <v>0.5455</v>
      </c>
      <c r="M314" s="42">
        <v>0.7222</v>
      </c>
      <c r="N314" s="42">
        <v>0.8636</v>
      </c>
      <c r="O314" s="42">
        <v>0.5909</v>
      </c>
      <c r="P314" s="42">
        <v>0.6667</v>
      </c>
      <c r="Q314" s="42">
        <v>0.5714</v>
      </c>
      <c r="R314" s="42">
        <v>0.6364</v>
      </c>
      <c r="S314" s="42">
        <v>0.8182</v>
      </c>
      <c r="T314" s="41">
        <v>0.5652</v>
      </c>
      <c r="U314" s="41">
        <v>0.6364</v>
      </c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ht="15.75" customHeight="1">
      <c r="A315" s="37" t="s">
        <v>618</v>
      </c>
      <c r="B315" s="37" t="s">
        <v>619</v>
      </c>
      <c r="C315" s="37">
        <v>74.0</v>
      </c>
      <c r="D315" s="37">
        <v>1.5110625063E10</v>
      </c>
      <c r="E315" s="37">
        <v>2.51002056E8</v>
      </c>
      <c r="F315" s="37" t="s">
        <v>637</v>
      </c>
      <c r="G315" s="40" t="str">
        <f t="shared" si="18"/>
        <v>OK</v>
      </c>
      <c r="H315" s="40">
        <f t="shared" si="19"/>
        <v>11</v>
      </c>
      <c r="I315" s="40">
        <f t="shared" si="20"/>
        <v>273</v>
      </c>
      <c r="J315" s="40">
        <f t="shared" si="21"/>
        <v>0</v>
      </c>
      <c r="K315" s="40"/>
      <c r="L315" s="42">
        <v>1.0</v>
      </c>
      <c r="M315" s="42">
        <v>1.0</v>
      </c>
      <c r="N315" s="42">
        <v>1.0</v>
      </c>
      <c r="O315" s="42">
        <v>1.0</v>
      </c>
      <c r="P315" s="42">
        <v>1.0</v>
      </c>
      <c r="Q315" s="42">
        <v>0.619</v>
      </c>
      <c r="R315" s="42">
        <v>0.9091</v>
      </c>
      <c r="S315" s="42">
        <v>0.9545</v>
      </c>
      <c r="T315" s="41">
        <v>0.7391</v>
      </c>
      <c r="U315" s="41">
        <v>0.8636</v>
      </c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ht="15.75" customHeight="1">
      <c r="A316" s="37" t="s">
        <v>618</v>
      </c>
      <c r="B316" s="37" t="s">
        <v>619</v>
      </c>
      <c r="C316" s="37">
        <v>75.0</v>
      </c>
      <c r="D316" s="37">
        <v>1.5110625146E10</v>
      </c>
      <c r="E316" s="37">
        <v>2.51002057E8</v>
      </c>
      <c r="F316" s="37" t="s">
        <v>638</v>
      </c>
      <c r="G316" s="40" t="str">
        <f t="shared" si="18"/>
        <v>Pending</v>
      </c>
      <c r="H316" s="40">
        <f t="shared" si="19"/>
        <v>-7</v>
      </c>
      <c r="I316" s="40">
        <f t="shared" si="20"/>
        <v>218</v>
      </c>
      <c r="J316" s="40">
        <f t="shared" si="21"/>
        <v>22</v>
      </c>
      <c r="K316" s="40"/>
      <c r="L316" s="42">
        <v>0.9091</v>
      </c>
      <c r="M316" s="42">
        <v>0.0</v>
      </c>
      <c r="N316" s="42">
        <v>0.8636</v>
      </c>
      <c r="O316" s="42">
        <v>0.9545</v>
      </c>
      <c r="P316" s="42">
        <v>0.7143</v>
      </c>
      <c r="Q316" s="42">
        <v>0.6667</v>
      </c>
      <c r="R316" s="42">
        <v>0.7273</v>
      </c>
      <c r="S316" s="42">
        <v>0.9545</v>
      </c>
      <c r="T316" s="41">
        <v>0.8696</v>
      </c>
      <c r="U316" s="41">
        <v>0.5909</v>
      </c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ht="15.75" customHeight="1">
      <c r="A317" s="37" t="s">
        <v>618</v>
      </c>
      <c r="B317" s="37" t="s">
        <v>619</v>
      </c>
      <c r="C317" s="37">
        <v>76.0</v>
      </c>
      <c r="D317" s="37">
        <v>1.5110625166E10</v>
      </c>
      <c r="E317" s="37">
        <v>2.53002001E8</v>
      </c>
      <c r="F317" s="37" t="s">
        <v>639</v>
      </c>
      <c r="G317" s="40" t="str">
        <f t="shared" si="18"/>
        <v>Pending</v>
      </c>
      <c r="H317" s="40">
        <f t="shared" si="19"/>
        <v>-29</v>
      </c>
      <c r="I317" s="40">
        <f t="shared" si="20"/>
        <v>153</v>
      </c>
      <c r="J317" s="40">
        <f t="shared" si="21"/>
        <v>87</v>
      </c>
      <c r="K317" s="40"/>
      <c r="L317" s="42">
        <v>0.2273</v>
      </c>
      <c r="M317" s="42">
        <v>0.3333</v>
      </c>
      <c r="N317" s="42">
        <v>0.7273</v>
      </c>
      <c r="O317" s="42">
        <v>0.5455</v>
      </c>
      <c r="P317" s="42">
        <v>0.4286</v>
      </c>
      <c r="Q317" s="42">
        <v>0.1905</v>
      </c>
      <c r="R317" s="42">
        <v>0.5909</v>
      </c>
      <c r="S317" s="42">
        <v>0.6818</v>
      </c>
      <c r="T317" s="41">
        <v>0.7826</v>
      </c>
      <c r="U317" s="41">
        <v>0.5909</v>
      </c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ht="15.75" customHeight="1">
      <c r="A318" s="37" t="s">
        <v>618</v>
      </c>
      <c r="B318" s="37" t="s">
        <v>619</v>
      </c>
      <c r="C318" s="37">
        <v>77.0</v>
      </c>
      <c r="D318" s="37">
        <v>1.5110625165E10</v>
      </c>
      <c r="E318" s="37">
        <v>2.53002002E8</v>
      </c>
      <c r="F318" s="37" t="s">
        <v>640</v>
      </c>
      <c r="G318" s="40" t="str">
        <f t="shared" si="18"/>
        <v>Pending</v>
      </c>
      <c r="H318" s="40">
        <f t="shared" si="19"/>
        <v>-19</v>
      </c>
      <c r="I318" s="40">
        <f t="shared" si="20"/>
        <v>182</v>
      </c>
      <c r="J318" s="40">
        <f t="shared" si="21"/>
        <v>58</v>
      </c>
      <c r="K318" s="40"/>
      <c r="L318" s="42">
        <v>0.1818</v>
      </c>
      <c r="M318" s="42">
        <v>0.7222</v>
      </c>
      <c r="N318" s="42">
        <v>0.8636</v>
      </c>
      <c r="O318" s="42">
        <v>0.0909</v>
      </c>
      <c r="P318" s="42">
        <v>0.5238</v>
      </c>
      <c r="Q318" s="42">
        <v>0.7619</v>
      </c>
      <c r="R318" s="42">
        <v>0.8636</v>
      </c>
      <c r="S318" s="42">
        <v>0.6818</v>
      </c>
      <c r="T318" s="41">
        <v>0.7826</v>
      </c>
      <c r="U318" s="41">
        <v>0.5909</v>
      </c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ht="15.75" customHeight="1">
      <c r="A319" s="40"/>
      <c r="B319" s="40"/>
      <c r="C319" s="40"/>
      <c r="D319" s="40"/>
      <c r="E319" s="40"/>
      <c r="F319" s="40">
        <f>counta(F167:F318)</f>
        <v>150</v>
      </c>
      <c r="G319" s="40" t="str">
        <f t="shared" si="18"/>
        <v>Pending</v>
      </c>
      <c r="H319" s="40">
        <f t="shared" si="19"/>
        <v>-2</v>
      </c>
      <c r="I319" s="40">
        <f t="shared" si="20"/>
        <v>233</v>
      </c>
      <c r="J319" s="40">
        <f t="shared" si="21"/>
        <v>7</v>
      </c>
      <c r="K319" s="40"/>
      <c r="L319" s="84">
        <f t="shared" ref="L319:Z319" si="22">SUM(L167:L318)/$F$319</f>
        <v>0.6160206667</v>
      </c>
      <c r="M319" s="84">
        <f t="shared" si="22"/>
        <v>0.725952</v>
      </c>
      <c r="N319" s="84">
        <f t="shared" si="22"/>
        <v>0.836014</v>
      </c>
      <c r="O319" s="84">
        <f t="shared" si="22"/>
        <v>0.8263266667</v>
      </c>
      <c r="P319" s="84">
        <f t="shared" si="22"/>
        <v>0.8171973333</v>
      </c>
      <c r="Q319" s="84">
        <f t="shared" si="22"/>
        <v>0.7955806667</v>
      </c>
      <c r="R319" s="84">
        <f t="shared" si="22"/>
        <v>0.812416</v>
      </c>
      <c r="S319" s="84">
        <f t="shared" si="22"/>
        <v>0.7672553333</v>
      </c>
      <c r="T319" s="84">
        <f t="shared" si="22"/>
        <v>0.7855173333</v>
      </c>
      <c r="U319" s="84">
        <f t="shared" si="22"/>
        <v>0.793684</v>
      </c>
      <c r="V319" s="84">
        <f t="shared" si="22"/>
        <v>0</v>
      </c>
      <c r="W319" s="84">
        <f t="shared" si="22"/>
        <v>0</v>
      </c>
      <c r="X319" s="84">
        <f t="shared" si="22"/>
        <v>0</v>
      </c>
      <c r="Y319" s="84">
        <f t="shared" si="22"/>
        <v>0</v>
      </c>
      <c r="Z319" s="84">
        <f t="shared" si="22"/>
        <v>0</v>
      </c>
      <c r="AA319" s="8"/>
      <c r="AB319" s="8"/>
      <c r="AC319" s="8"/>
      <c r="AD319" s="8"/>
      <c r="AE319" s="8"/>
    </row>
    <row r="320" ht="37.5" customHeight="1">
      <c r="A320" s="70" t="s">
        <v>641</v>
      </c>
      <c r="B320" s="3"/>
      <c r="C320" s="3"/>
      <c r="D320" s="3"/>
      <c r="E320" s="3"/>
      <c r="F320" s="3"/>
      <c r="G320" s="5"/>
      <c r="H320" s="40"/>
      <c r="I320" s="40"/>
      <c r="J320" s="40"/>
      <c r="K320" s="40"/>
      <c r="L320" s="71"/>
      <c r="M320" s="71"/>
      <c r="N320" s="71"/>
      <c r="O320" s="71"/>
      <c r="P320" s="71"/>
      <c r="Q320" s="71"/>
      <c r="R320" s="71"/>
      <c r="S320" s="74"/>
      <c r="T320" s="46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ht="15.75" customHeight="1">
      <c r="A321" s="29" t="s">
        <v>6</v>
      </c>
      <c r="B321" s="29" t="s">
        <v>7</v>
      </c>
      <c r="C321" s="29" t="s">
        <v>8</v>
      </c>
      <c r="D321" s="29" t="s">
        <v>9</v>
      </c>
      <c r="E321" s="29" t="s">
        <v>10</v>
      </c>
      <c r="F321" s="29" t="s">
        <v>11</v>
      </c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6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ht="15.75" customHeight="1">
      <c r="A322" s="37" t="s">
        <v>642</v>
      </c>
      <c r="B322" s="37" t="s">
        <v>643</v>
      </c>
      <c r="C322" s="37">
        <v>1.0</v>
      </c>
      <c r="D322" s="37">
        <v>1.5110623075E10</v>
      </c>
      <c r="E322" s="37">
        <v>2.30002001E8</v>
      </c>
      <c r="F322" s="37" t="s">
        <v>644</v>
      </c>
      <c r="G322" s="40" t="str">
        <f t="shared" ref="G322:G383" si="23">IF(H322&gt;=0,"OK",IF(K322&gt;=J322,"Completed","Pending"))</f>
        <v>Pending</v>
      </c>
      <c r="H322" s="40">
        <f t="shared" ref="H322:H383" si="24">round((((((L322*100)*$L$5)+((M322*100)*$M$5)+((N322*100)*$N$5)+((O322*100)*$O$5)+((P322*100)*$P$5)+((Q322*100)*$Q$5)+((R322*100)*$R$5)+((S322*100)*$S$5)+((T322*100)*$T$5)+((U322*100)*$U$5)+((V322*100)*$V$5)+((W322*100)*$W$5)+((X322*100)*$X$5)+((Y322*100)*$Y$5)+((Z322*100)*$Z$5)++((W322*100)*$W$5)+((AA322*100)*$AA$5))/($L$5+$M$5+$N$5+$O$5+$P$5+$Q$5+$R$5+$S$5+$T$5+$V$5+$U$5+$W$5+$X$5+$Y$5+$Z$5+$AA$5))-80),0)</f>
        <v>-57</v>
      </c>
      <c r="I322" s="40">
        <f t="shared" ref="I322:I383" si="25">round(30*((L322*$L$5)+(M322*$M$5)+(N322*$N$5)+(O322*$O$5)+(P322*$P$5)+(Q322*$Q$5)+(R322*$R$5)+(S322*$S$5)+(T322*$T$5)+(U322*$U$5)+(V322*$V$5)+(W322*$W$5)+(X322*$X$5)+(Y322*$Y$5)+(Z322*$Z$5)+(AA322*$AA$5)),0)</f>
        <v>68</v>
      </c>
      <c r="J322" s="40">
        <f t="shared" ref="J322:J383" si="26">if(I322&lt;(24*($L$5+$M$5+$N$5+$O$5+$P$5+$Q$5+$R$5+$S$5+$T$5+$V$5+$U$5+$W$5+$X$5+$Y$5+$Z$5+$AA$5)),abs(I322-(24*($L$5+$M$5+$N$5+$O$5+$P$5+$Q$5+$R$5+$S$5+$T$5+$V$5+$U$5+$W$5+$X$5+$Y$5+$Z$5+$AA$5))),0)</f>
        <v>172</v>
      </c>
      <c r="K322" s="40"/>
      <c r="L322" s="42">
        <v>0.0556</v>
      </c>
      <c r="M322" s="42">
        <v>0.1667</v>
      </c>
      <c r="N322" s="42">
        <v>0.1111</v>
      </c>
      <c r="O322" s="42">
        <v>0.3333</v>
      </c>
      <c r="P322" s="42">
        <v>0.1111</v>
      </c>
      <c r="Q322" s="42">
        <v>0.1111</v>
      </c>
      <c r="R322" s="42">
        <v>0.5556</v>
      </c>
      <c r="S322" s="42">
        <v>0.4444</v>
      </c>
      <c r="T322" s="41">
        <v>0.3889</v>
      </c>
      <c r="U322" s="41">
        <v>0.0</v>
      </c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ht="15.75" customHeight="1">
      <c r="A323" s="37" t="s">
        <v>642</v>
      </c>
      <c r="B323" s="37" t="s">
        <v>643</v>
      </c>
      <c r="C323" s="37">
        <v>2.0</v>
      </c>
      <c r="D323" s="37">
        <v>1.511062306E10</v>
      </c>
      <c r="E323" s="37">
        <v>2.30002003E8</v>
      </c>
      <c r="F323" s="37" t="s">
        <v>645</v>
      </c>
      <c r="G323" s="40" t="str">
        <f t="shared" si="23"/>
        <v>Pending</v>
      </c>
      <c r="H323" s="40">
        <f t="shared" si="24"/>
        <v>-3</v>
      </c>
      <c r="I323" s="40">
        <f t="shared" si="25"/>
        <v>232</v>
      </c>
      <c r="J323" s="40">
        <f t="shared" si="26"/>
        <v>8</v>
      </c>
      <c r="K323" s="40"/>
      <c r="L323" s="42">
        <v>0.5</v>
      </c>
      <c r="M323" s="42">
        <v>0.5556</v>
      </c>
      <c r="N323" s="42">
        <v>0.8333</v>
      </c>
      <c r="O323" s="42">
        <v>0.5556</v>
      </c>
      <c r="P323" s="42">
        <v>0.6667</v>
      </c>
      <c r="Q323" s="42">
        <v>0.8889</v>
      </c>
      <c r="R323" s="42">
        <v>1.0</v>
      </c>
      <c r="S323" s="42">
        <v>0.9444</v>
      </c>
      <c r="T323" s="41">
        <v>0.8333</v>
      </c>
      <c r="U323" s="41">
        <v>0.9444</v>
      </c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ht="15.75" customHeight="1">
      <c r="A324" s="37" t="s">
        <v>642</v>
      </c>
      <c r="B324" s="37" t="s">
        <v>643</v>
      </c>
      <c r="C324" s="37">
        <v>3.0</v>
      </c>
      <c r="D324" s="37">
        <v>1.5110623088E10</v>
      </c>
      <c r="E324" s="37">
        <v>2.30002005E8</v>
      </c>
      <c r="F324" s="37" t="s">
        <v>646</v>
      </c>
      <c r="G324" s="40" t="str">
        <f t="shared" si="23"/>
        <v>Pending</v>
      </c>
      <c r="H324" s="40">
        <f t="shared" si="24"/>
        <v>-6</v>
      </c>
      <c r="I324" s="40">
        <f t="shared" si="25"/>
        <v>222</v>
      </c>
      <c r="J324" s="40">
        <f t="shared" si="26"/>
        <v>18</v>
      </c>
      <c r="K324" s="40"/>
      <c r="L324" s="42">
        <v>0.0</v>
      </c>
      <c r="M324" s="42">
        <v>0.5</v>
      </c>
      <c r="N324" s="42">
        <v>0.7222</v>
      </c>
      <c r="O324" s="42">
        <v>0.8889</v>
      </c>
      <c r="P324" s="42">
        <v>0.7222</v>
      </c>
      <c r="Q324" s="42">
        <v>0.9444</v>
      </c>
      <c r="R324" s="42">
        <v>0.9444</v>
      </c>
      <c r="S324" s="42">
        <v>0.8889</v>
      </c>
      <c r="T324" s="41">
        <v>0.9444</v>
      </c>
      <c r="U324" s="41">
        <v>0.8333</v>
      </c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ht="15.75" customHeight="1">
      <c r="A325" s="37" t="s">
        <v>642</v>
      </c>
      <c r="B325" s="37" t="s">
        <v>643</v>
      </c>
      <c r="C325" s="37">
        <v>4.0</v>
      </c>
      <c r="D325" s="37">
        <v>1.5110623019E10</v>
      </c>
      <c r="E325" s="37">
        <v>2.30002006E8</v>
      </c>
      <c r="F325" s="37" t="s">
        <v>647</v>
      </c>
      <c r="G325" s="40" t="str">
        <f t="shared" si="23"/>
        <v>Pending</v>
      </c>
      <c r="H325" s="40">
        <f t="shared" si="24"/>
        <v>-8</v>
      </c>
      <c r="I325" s="40">
        <f t="shared" si="25"/>
        <v>215</v>
      </c>
      <c r="J325" s="40">
        <f t="shared" si="26"/>
        <v>25</v>
      </c>
      <c r="K325" s="40"/>
      <c r="L325" s="42">
        <v>1.0</v>
      </c>
      <c r="M325" s="42">
        <v>1.0</v>
      </c>
      <c r="N325" s="42">
        <v>1.0</v>
      </c>
      <c r="O325" s="42">
        <v>1.0</v>
      </c>
      <c r="P325" s="42">
        <v>1.0</v>
      </c>
      <c r="Q325" s="42">
        <v>1.0</v>
      </c>
      <c r="R325" s="42">
        <v>1.0</v>
      </c>
      <c r="S325" s="42">
        <v>0.0556</v>
      </c>
      <c r="T325" s="41">
        <v>0.0556</v>
      </c>
      <c r="U325" s="41">
        <v>0.0556</v>
      </c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ht="15.75" customHeight="1">
      <c r="A326" s="37" t="s">
        <v>642</v>
      </c>
      <c r="B326" s="37" t="s">
        <v>643</v>
      </c>
      <c r="C326" s="37">
        <v>5.0</v>
      </c>
      <c r="D326" s="37">
        <v>1.511062308E10</v>
      </c>
      <c r="E326" s="37">
        <v>2.30002007E8</v>
      </c>
      <c r="F326" s="37" t="s">
        <v>648</v>
      </c>
      <c r="G326" s="40" t="str">
        <f t="shared" si="23"/>
        <v>OK</v>
      </c>
      <c r="H326" s="40">
        <f t="shared" si="24"/>
        <v>1</v>
      </c>
      <c r="I326" s="40">
        <f t="shared" si="25"/>
        <v>242</v>
      </c>
      <c r="J326" s="40">
        <f t="shared" si="26"/>
        <v>0</v>
      </c>
      <c r="K326" s="40"/>
      <c r="L326" s="42">
        <v>0.7778</v>
      </c>
      <c r="M326" s="42">
        <v>0.8889</v>
      </c>
      <c r="N326" s="42">
        <v>0.6111</v>
      </c>
      <c r="O326" s="42">
        <v>0.9444</v>
      </c>
      <c r="P326" s="42">
        <v>0.7778</v>
      </c>
      <c r="Q326" s="42">
        <v>0.8333</v>
      </c>
      <c r="R326" s="42">
        <v>1.0</v>
      </c>
      <c r="S326" s="42">
        <v>0.8333</v>
      </c>
      <c r="T326" s="41">
        <v>0.7222</v>
      </c>
      <c r="U326" s="41">
        <v>0.6667</v>
      </c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ht="15.75" customHeight="1">
      <c r="A327" s="37" t="s">
        <v>642</v>
      </c>
      <c r="B327" s="37" t="s">
        <v>643</v>
      </c>
      <c r="C327" s="37">
        <v>6.0</v>
      </c>
      <c r="D327" s="37">
        <v>1.5110623016E10</v>
      </c>
      <c r="E327" s="37">
        <v>2.30002008E8</v>
      </c>
      <c r="F327" s="37" t="s">
        <v>649</v>
      </c>
      <c r="G327" s="40" t="str">
        <f t="shared" si="23"/>
        <v>Pending</v>
      </c>
      <c r="H327" s="40">
        <f t="shared" si="24"/>
        <v>-1</v>
      </c>
      <c r="I327" s="40">
        <f t="shared" si="25"/>
        <v>238</v>
      </c>
      <c r="J327" s="40">
        <f t="shared" si="26"/>
        <v>2</v>
      </c>
      <c r="K327" s="40"/>
      <c r="L327" s="42">
        <v>1.0</v>
      </c>
      <c r="M327" s="42">
        <v>1.0</v>
      </c>
      <c r="N327" s="42">
        <v>0.7222</v>
      </c>
      <c r="O327" s="42">
        <v>0.2778</v>
      </c>
      <c r="P327" s="42">
        <v>1.0</v>
      </c>
      <c r="Q327" s="42">
        <v>0.7222</v>
      </c>
      <c r="R327" s="42">
        <v>0.7222</v>
      </c>
      <c r="S327" s="42">
        <v>1.0</v>
      </c>
      <c r="T327" s="41">
        <v>0.7778</v>
      </c>
      <c r="U327" s="41">
        <v>0.7222</v>
      </c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ht="15.75" customHeight="1">
      <c r="A328" s="37" t="s">
        <v>642</v>
      </c>
      <c r="B328" s="37" t="s">
        <v>643</v>
      </c>
      <c r="C328" s="37">
        <v>7.0</v>
      </c>
      <c r="D328" s="37">
        <v>1.51106231E10</v>
      </c>
      <c r="E328" s="37">
        <v>2.30002009E8</v>
      </c>
      <c r="F328" s="37" t="s">
        <v>650</v>
      </c>
      <c r="G328" s="40" t="str">
        <f t="shared" si="23"/>
        <v>Pending</v>
      </c>
      <c r="H328" s="40">
        <f t="shared" si="24"/>
        <v>-2</v>
      </c>
      <c r="I328" s="40">
        <f t="shared" si="25"/>
        <v>233</v>
      </c>
      <c r="J328" s="40">
        <f t="shared" si="26"/>
        <v>7</v>
      </c>
      <c r="K328" s="40"/>
      <c r="L328" s="42">
        <v>0.8889</v>
      </c>
      <c r="M328" s="42">
        <v>0.7778</v>
      </c>
      <c r="N328" s="42">
        <v>0.9444</v>
      </c>
      <c r="O328" s="42">
        <v>0.7778</v>
      </c>
      <c r="P328" s="42">
        <v>0.7222</v>
      </c>
      <c r="Q328" s="42">
        <v>0.7778</v>
      </c>
      <c r="R328" s="42">
        <v>0.8333</v>
      </c>
      <c r="S328" s="42">
        <v>0.0556</v>
      </c>
      <c r="T328" s="41">
        <v>1.0</v>
      </c>
      <c r="U328" s="41">
        <v>1.0</v>
      </c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ht="15.75" customHeight="1">
      <c r="A329" s="37" t="s">
        <v>642</v>
      </c>
      <c r="B329" s="37" t="s">
        <v>643</v>
      </c>
      <c r="C329" s="37">
        <v>8.0</v>
      </c>
      <c r="D329" s="37">
        <v>1.5110623039E10</v>
      </c>
      <c r="E329" s="37">
        <v>2.3000201E8</v>
      </c>
      <c r="F329" s="37" t="s">
        <v>651</v>
      </c>
      <c r="G329" s="40" t="str">
        <f t="shared" si="23"/>
        <v>OK</v>
      </c>
      <c r="H329" s="40">
        <f t="shared" si="24"/>
        <v>15</v>
      </c>
      <c r="I329" s="40">
        <f t="shared" si="25"/>
        <v>285</v>
      </c>
      <c r="J329" s="40">
        <f t="shared" si="26"/>
        <v>0</v>
      </c>
      <c r="K329" s="40"/>
      <c r="L329" s="42">
        <v>1.0</v>
      </c>
      <c r="M329" s="42">
        <v>1.0</v>
      </c>
      <c r="N329" s="42">
        <v>1.0</v>
      </c>
      <c r="O329" s="42">
        <v>0.8889</v>
      </c>
      <c r="P329" s="42">
        <v>1.0</v>
      </c>
      <c r="Q329" s="42">
        <v>0.8889</v>
      </c>
      <c r="R329" s="42">
        <v>1.0</v>
      </c>
      <c r="S329" s="42">
        <v>1.0</v>
      </c>
      <c r="T329" s="41">
        <v>0.7222</v>
      </c>
      <c r="U329" s="41">
        <v>1.0</v>
      </c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ht="15.75" customHeight="1">
      <c r="A330" s="37" t="s">
        <v>642</v>
      </c>
      <c r="B330" s="37" t="s">
        <v>643</v>
      </c>
      <c r="C330" s="37">
        <v>9.0</v>
      </c>
      <c r="D330" s="37">
        <v>1.5110623045E10</v>
      </c>
      <c r="E330" s="37">
        <v>2.30002011E8</v>
      </c>
      <c r="F330" s="37" t="s">
        <v>652</v>
      </c>
      <c r="G330" s="40" t="str">
        <f t="shared" si="23"/>
        <v>OK</v>
      </c>
      <c r="H330" s="40">
        <f t="shared" si="24"/>
        <v>8</v>
      </c>
      <c r="I330" s="40">
        <f t="shared" si="25"/>
        <v>263</v>
      </c>
      <c r="J330" s="40">
        <f t="shared" si="26"/>
        <v>0</v>
      </c>
      <c r="K330" s="40"/>
      <c r="L330" s="42">
        <v>1.0</v>
      </c>
      <c r="M330" s="42">
        <v>1.0</v>
      </c>
      <c r="N330" s="42">
        <v>1.0</v>
      </c>
      <c r="O330" s="42">
        <v>1.0</v>
      </c>
      <c r="P330" s="42">
        <v>1.0</v>
      </c>
      <c r="Q330" s="42">
        <v>1.0</v>
      </c>
      <c r="R330" s="42">
        <v>0.7222</v>
      </c>
      <c r="S330" s="42">
        <v>0.9444</v>
      </c>
      <c r="T330" s="41">
        <v>0.8333</v>
      </c>
      <c r="U330" s="41">
        <v>0.2778</v>
      </c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ht="15.75" customHeight="1">
      <c r="A331" s="37" t="s">
        <v>642</v>
      </c>
      <c r="B331" s="37" t="s">
        <v>643</v>
      </c>
      <c r="C331" s="37">
        <v>10.0</v>
      </c>
      <c r="D331" s="37">
        <v>1.5110623017E10</v>
      </c>
      <c r="E331" s="37">
        <v>2.30002013E8</v>
      </c>
      <c r="F331" s="37" t="s">
        <v>653</v>
      </c>
      <c r="G331" s="40" t="str">
        <f t="shared" si="23"/>
        <v>OK</v>
      </c>
      <c r="H331" s="40">
        <f t="shared" si="24"/>
        <v>16</v>
      </c>
      <c r="I331" s="40">
        <f t="shared" si="25"/>
        <v>287</v>
      </c>
      <c r="J331" s="40">
        <f t="shared" si="26"/>
        <v>0</v>
      </c>
      <c r="K331" s="40"/>
      <c r="L331" s="42">
        <v>0.6667</v>
      </c>
      <c r="M331" s="42">
        <v>1.0</v>
      </c>
      <c r="N331" s="42">
        <v>1.0</v>
      </c>
      <c r="O331" s="42">
        <v>0.8889</v>
      </c>
      <c r="P331" s="42">
        <v>1.0</v>
      </c>
      <c r="Q331" s="42">
        <v>1.0</v>
      </c>
      <c r="R331" s="42">
        <v>1.0</v>
      </c>
      <c r="S331" s="42">
        <v>1.0</v>
      </c>
      <c r="T331" s="41">
        <v>1.0</v>
      </c>
      <c r="U331" s="41">
        <v>1.0</v>
      </c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ht="15.75" customHeight="1">
      <c r="A332" s="37" t="s">
        <v>642</v>
      </c>
      <c r="B332" s="37" t="s">
        <v>643</v>
      </c>
      <c r="C332" s="37">
        <v>11.0</v>
      </c>
      <c r="D332" s="37">
        <v>1.5110623083E10</v>
      </c>
      <c r="E332" s="37">
        <v>2.30002014E8</v>
      </c>
      <c r="F332" s="37" t="s">
        <v>654</v>
      </c>
      <c r="G332" s="40" t="str">
        <f t="shared" si="23"/>
        <v>OK</v>
      </c>
      <c r="H332" s="40">
        <f t="shared" si="24"/>
        <v>16</v>
      </c>
      <c r="I332" s="40">
        <f t="shared" si="25"/>
        <v>288</v>
      </c>
      <c r="J332" s="40">
        <f t="shared" si="26"/>
        <v>0</v>
      </c>
      <c r="K332" s="40"/>
      <c r="L332" s="42">
        <v>1.0</v>
      </c>
      <c r="M332" s="42">
        <v>1.0</v>
      </c>
      <c r="N332" s="42">
        <v>1.0</v>
      </c>
      <c r="O332" s="42">
        <v>0.9444</v>
      </c>
      <c r="P332" s="42">
        <v>0.7778</v>
      </c>
      <c r="Q332" s="42">
        <v>0.9444</v>
      </c>
      <c r="R332" s="42">
        <v>1.0</v>
      </c>
      <c r="S332" s="42">
        <v>1.0</v>
      </c>
      <c r="T332" s="41">
        <v>1.0</v>
      </c>
      <c r="U332" s="41">
        <v>0.9444</v>
      </c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ht="15.75" customHeight="1">
      <c r="A333" s="37" t="s">
        <v>642</v>
      </c>
      <c r="B333" s="37" t="s">
        <v>643</v>
      </c>
      <c r="C333" s="37">
        <v>12.0</v>
      </c>
      <c r="D333" s="37">
        <v>1.5110623084E10</v>
      </c>
      <c r="E333" s="37">
        <v>2.30002018E8</v>
      </c>
      <c r="F333" s="37" t="s">
        <v>655</v>
      </c>
      <c r="G333" s="40" t="str">
        <f t="shared" si="23"/>
        <v>Pending</v>
      </c>
      <c r="H333" s="40">
        <f t="shared" si="24"/>
        <v>-14</v>
      </c>
      <c r="I333" s="40">
        <f t="shared" si="25"/>
        <v>198</v>
      </c>
      <c r="J333" s="40">
        <f t="shared" si="26"/>
        <v>42</v>
      </c>
      <c r="K333" s="40"/>
      <c r="L333" s="42">
        <v>0.5556</v>
      </c>
      <c r="M333" s="42">
        <v>0.8333</v>
      </c>
      <c r="N333" s="42">
        <v>0.6667</v>
      </c>
      <c r="O333" s="42">
        <v>0.8889</v>
      </c>
      <c r="P333" s="42">
        <v>0.7222</v>
      </c>
      <c r="Q333" s="42">
        <v>0.1667</v>
      </c>
      <c r="R333" s="42">
        <v>0.9444</v>
      </c>
      <c r="S333" s="42">
        <v>0.6667</v>
      </c>
      <c r="T333" s="41">
        <v>0.6667</v>
      </c>
      <c r="U333" s="41">
        <v>0.5</v>
      </c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ht="15.75" customHeight="1">
      <c r="A334" s="37" t="s">
        <v>642</v>
      </c>
      <c r="B334" s="37" t="s">
        <v>643</v>
      </c>
      <c r="C334" s="37">
        <v>13.0</v>
      </c>
      <c r="D334" s="37">
        <v>1.5110623067E10</v>
      </c>
      <c r="E334" s="37">
        <v>2.30002021E8</v>
      </c>
      <c r="F334" s="37" t="s">
        <v>656</v>
      </c>
      <c r="G334" s="40" t="str">
        <f t="shared" si="23"/>
        <v>OK</v>
      </c>
      <c r="H334" s="40">
        <f t="shared" si="24"/>
        <v>3</v>
      </c>
      <c r="I334" s="40">
        <f t="shared" si="25"/>
        <v>248</v>
      </c>
      <c r="J334" s="40">
        <f t="shared" si="26"/>
        <v>0</v>
      </c>
      <c r="K334" s="40"/>
      <c r="L334" s="42">
        <v>0.7222</v>
      </c>
      <c r="M334" s="42">
        <v>0.7778</v>
      </c>
      <c r="N334" s="42">
        <v>0.9444</v>
      </c>
      <c r="O334" s="42">
        <v>0.9444</v>
      </c>
      <c r="P334" s="42">
        <v>0.8889</v>
      </c>
      <c r="Q334" s="42">
        <v>1.0</v>
      </c>
      <c r="R334" s="42">
        <v>0.6111</v>
      </c>
      <c r="S334" s="42">
        <v>1.0</v>
      </c>
      <c r="T334" s="41">
        <v>0.5</v>
      </c>
      <c r="U334" s="41">
        <v>0.8889</v>
      </c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ht="15.75" customHeight="1">
      <c r="A335" s="37" t="s">
        <v>642</v>
      </c>
      <c r="B335" s="37" t="s">
        <v>643</v>
      </c>
      <c r="C335" s="37">
        <v>14.0</v>
      </c>
      <c r="D335" s="37">
        <v>1.5110623058E10</v>
      </c>
      <c r="E335" s="37">
        <v>2.30002022E8</v>
      </c>
      <c r="F335" s="37" t="s">
        <v>657</v>
      </c>
      <c r="G335" s="40" t="str">
        <f t="shared" si="23"/>
        <v>OK</v>
      </c>
      <c r="H335" s="40">
        <f t="shared" si="24"/>
        <v>3</v>
      </c>
      <c r="I335" s="40">
        <f t="shared" si="25"/>
        <v>250</v>
      </c>
      <c r="J335" s="40">
        <f t="shared" si="26"/>
        <v>0</v>
      </c>
      <c r="K335" s="40"/>
      <c r="L335" s="42">
        <v>1.0</v>
      </c>
      <c r="M335" s="42">
        <v>0.7778</v>
      </c>
      <c r="N335" s="42">
        <v>0.7222</v>
      </c>
      <c r="O335" s="42">
        <v>0.6667</v>
      </c>
      <c r="P335" s="42">
        <v>0.9444</v>
      </c>
      <c r="Q335" s="42">
        <v>0.2222</v>
      </c>
      <c r="R335" s="42">
        <v>1.0</v>
      </c>
      <c r="S335" s="42">
        <v>1.0</v>
      </c>
      <c r="T335" s="41">
        <v>1.0</v>
      </c>
      <c r="U335" s="41">
        <v>1.0</v>
      </c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ht="15.75" customHeight="1">
      <c r="A336" s="37" t="s">
        <v>642</v>
      </c>
      <c r="B336" s="37" t="s">
        <v>643</v>
      </c>
      <c r="C336" s="37">
        <v>15.0</v>
      </c>
      <c r="D336" s="37">
        <v>1.511062305E10</v>
      </c>
      <c r="E336" s="37">
        <v>2.30002023E8</v>
      </c>
      <c r="F336" s="37" t="s">
        <v>658</v>
      </c>
      <c r="G336" s="40" t="str">
        <f t="shared" si="23"/>
        <v>OK</v>
      </c>
      <c r="H336" s="40">
        <f t="shared" si="24"/>
        <v>10</v>
      </c>
      <c r="I336" s="40">
        <f t="shared" si="25"/>
        <v>270</v>
      </c>
      <c r="J336" s="40">
        <f t="shared" si="26"/>
        <v>0</v>
      </c>
      <c r="K336" s="40"/>
      <c r="L336" s="42">
        <v>1.0</v>
      </c>
      <c r="M336" s="42">
        <v>1.0</v>
      </c>
      <c r="N336" s="42">
        <v>1.0</v>
      </c>
      <c r="O336" s="42">
        <v>1.0</v>
      </c>
      <c r="P336" s="42">
        <v>1.0</v>
      </c>
      <c r="Q336" s="42">
        <v>1.0</v>
      </c>
      <c r="R336" s="42">
        <v>1.0</v>
      </c>
      <c r="S336" s="42">
        <v>1.0</v>
      </c>
      <c r="T336" s="41">
        <v>1.0</v>
      </c>
      <c r="U336" s="41">
        <v>0.0</v>
      </c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ht="15.75" customHeight="1">
      <c r="A337" s="37" t="s">
        <v>642</v>
      </c>
      <c r="B337" s="37" t="s">
        <v>643</v>
      </c>
      <c r="C337" s="37">
        <v>16.0</v>
      </c>
      <c r="D337" s="37">
        <v>1.5110623009E10</v>
      </c>
      <c r="E337" s="37">
        <v>2.30002024E8</v>
      </c>
      <c r="F337" s="37" t="s">
        <v>659</v>
      </c>
      <c r="G337" s="40" t="str">
        <f t="shared" si="23"/>
        <v>OK</v>
      </c>
      <c r="H337" s="40">
        <f t="shared" si="24"/>
        <v>14</v>
      </c>
      <c r="I337" s="40">
        <f t="shared" si="25"/>
        <v>282</v>
      </c>
      <c r="J337" s="40">
        <f t="shared" si="26"/>
        <v>0</v>
      </c>
      <c r="K337" s="40"/>
      <c r="L337" s="42">
        <v>1.0</v>
      </c>
      <c r="M337" s="42">
        <v>1.0</v>
      </c>
      <c r="N337" s="42">
        <v>1.0</v>
      </c>
      <c r="O337" s="42">
        <v>0.9444</v>
      </c>
      <c r="P337" s="42">
        <v>0.5556</v>
      </c>
      <c r="Q337" s="42">
        <v>1.0</v>
      </c>
      <c r="R337" s="42">
        <v>1.0</v>
      </c>
      <c r="S337" s="42">
        <v>0.9444</v>
      </c>
      <c r="T337" s="41">
        <v>1.0</v>
      </c>
      <c r="U337" s="41">
        <v>0.9444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ht="15.75" customHeight="1">
      <c r="A338" s="37" t="s">
        <v>642</v>
      </c>
      <c r="B338" s="37" t="s">
        <v>643</v>
      </c>
      <c r="C338" s="37">
        <v>17.0</v>
      </c>
      <c r="D338" s="37">
        <v>1.5110623006E10</v>
      </c>
      <c r="E338" s="37">
        <v>2.30002025E8</v>
      </c>
      <c r="F338" s="37" t="s">
        <v>660</v>
      </c>
      <c r="G338" s="40" t="str">
        <f t="shared" si="23"/>
        <v>OK</v>
      </c>
      <c r="H338" s="40">
        <f t="shared" si="24"/>
        <v>10</v>
      </c>
      <c r="I338" s="40">
        <f t="shared" si="25"/>
        <v>270</v>
      </c>
      <c r="J338" s="40">
        <f t="shared" si="26"/>
        <v>0</v>
      </c>
      <c r="K338" s="40"/>
      <c r="L338" s="42">
        <v>1.0</v>
      </c>
      <c r="M338" s="42">
        <v>1.0</v>
      </c>
      <c r="N338" s="42">
        <v>1.0</v>
      </c>
      <c r="O338" s="42">
        <v>0.8333</v>
      </c>
      <c r="P338" s="42">
        <v>0.9444</v>
      </c>
      <c r="Q338" s="42">
        <v>0.9444</v>
      </c>
      <c r="R338" s="42">
        <v>1.0</v>
      </c>
      <c r="S338" s="42">
        <v>0.8333</v>
      </c>
      <c r="T338" s="41">
        <v>0.5</v>
      </c>
      <c r="U338" s="41">
        <v>0.9444</v>
      </c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ht="15.75" customHeight="1">
      <c r="A339" s="37" t="s">
        <v>642</v>
      </c>
      <c r="B339" s="37" t="s">
        <v>643</v>
      </c>
      <c r="C339" s="37">
        <v>18.0</v>
      </c>
      <c r="D339" s="37">
        <v>1.511062307E10</v>
      </c>
      <c r="E339" s="37">
        <v>2.30002028E8</v>
      </c>
      <c r="F339" s="37" t="s">
        <v>661</v>
      </c>
      <c r="G339" s="40" t="str">
        <f t="shared" si="23"/>
        <v>Pending</v>
      </c>
      <c r="H339" s="40">
        <f t="shared" si="24"/>
        <v>-21</v>
      </c>
      <c r="I339" s="40">
        <f t="shared" si="25"/>
        <v>177</v>
      </c>
      <c r="J339" s="40">
        <f t="shared" si="26"/>
        <v>63</v>
      </c>
      <c r="K339" s="40"/>
      <c r="L339" s="42">
        <v>0.0556</v>
      </c>
      <c r="M339" s="42">
        <v>1.0</v>
      </c>
      <c r="N339" s="42">
        <v>0.7778</v>
      </c>
      <c r="O339" s="42">
        <v>0.9444</v>
      </c>
      <c r="P339" s="42">
        <v>0.7778</v>
      </c>
      <c r="Q339" s="42">
        <v>0.9444</v>
      </c>
      <c r="R339" s="42">
        <v>0.8889</v>
      </c>
      <c r="S339" s="42">
        <v>0.4444</v>
      </c>
      <c r="T339" s="41">
        <v>0.0</v>
      </c>
      <c r="U339" s="41">
        <v>0.0556</v>
      </c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ht="15.75" customHeight="1">
      <c r="A340" s="37" t="s">
        <v>642</v>
      </c>
      <c r="B340" s="37" t="s">
        <v>643</v>
      </c>
      <c r="C340" s="37">
        <v>19.0</v>
      </c>
      <c r="D340" s="37">
        <v>1.5110623041E10</v>
      </c>
      <c r="E340" s="37">
        <v>2.30002029E8</v>
      </c>
      <c r="F340" s="37" t="s">
        <v>662</v>
      </c>
      <c r="G340" s="40" t="str">
        <f t="shared" si="23"/>
        <v>OK</v>
      </c>
      <c r="H340" s="40">
        <f t="shared" si="24"/>
        <v>14</v>
      </c>
      <c r="I340" s="40">
        <f t="shared" si="25"/>
        <v>283</v>
      </c>
      <c r="J340" s="40">
        <f t="shared" si="26"/>
        <v>0</v>
      </c>
      <c r="K340" s="40"/>
      <c r="L340" s="42">
        <v>0.9444</v>
      </c>
      <c r="M340" s="42">
        <v>1.0</v>
      </c>
      <c r="N340" s="42">
        <v>1.0</v>
      </c>
      <c r="O340" s="42">
        <v>0.8889</v>
      </c>
      <c r="P340" s="42">
        <v>1.0</v>
      </c>
      <c r="Q340" s="42">
        <v>1.0</v>
      </c>
      <c r="R340" s="42">
        <v>1.0</v>
      </c>
      <c r="S340" s="42">
        <v>0.8889</v>
      </c>
      <c r="T340" s="41">
        <v>1.0</v>
      </c>
      <c r="U340" s="41">
        <v>0.7222</v>
      </c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ht="15.75" customHeight="1">
      <c r="A341" s="37" t="s">
        <v>642</v>
      </c>
      <c r="B341" s="37" t="s">
        <v>643</v>
      </c>
      <c r="C341" s="37">
        <v>20.0</v>
      </c>
      <c r="D341" s="37">
        <v>1.5110623062E10</v>
      </c>
      <c r="E341" s="37">
        <v>2.3000203E8</v>
      </c>
      <c r="F341" s="37" t="s">
        <v>663</v>
      </c>
      <c r="G341" s="40" t="str">
        <f t="shared" si="23"/>
        <v>OK</v>
      </c>
      <c r="H341" s="40">
        <f t="shared" si="24"/>
        <v>13</v>
      </c>
      <c r="I341" s="40">
        <f t="shared" si="25"/>
        <v>278</v>
      </c>
      <c r="J341" s="40">
        <f t="shared" si="26"/>
        <v>0</v>
      </c>
      <c r="K341" s="40"/>
      <c r="L341" s="42">
        <v>0.7222</v>
      </c>
      <c r="M341" s="42">
        <v>0.9444</v>
      </c>
      <c r="N341" s="42">
        <v>1.0</v>
      </c>
      <c r="O341" s="42">
        <v>0.9444</v>
      </c>
      <c r="P341" s="42">
        <v>0.8889</v>
      </c>
      <c r="Q341" s="42">
        <v>1.0</v>
      </c>
      <c r="R341" s="42">
        <v>1.0</v>
      </c>
      <c r="S341" s="42">
        <v>1.0</v>
      </c>
      <c r="T341" s="41">
        <v>0.8889</v>
      </c>
      <c r="U341" s="41">
        <v>0.8889</v>
      </c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ht="15.75" customHeight="1">
      <c r="A342" s="37" t="s">
        <v>642</v>
      </c>
      <c r="B342" s="37" t="s">
        <v>643</v>
      </c>
      <c r="C342" s="37">
        <v>21.0</v>
      </c>
      <c r="D342" s="37">
        <v>1.5110623069E10</v>
      </c>
      <c r="E342" s="37">
        <v>2.30002032E8</v>
      </c>
      <c r="F342" s="37" t="s">
        <v>664</v>
      </c>
      <c r="G342" s="40" t="str">
        <f t="shared" si="23"/>
        <v>Pending</v>
      </c>
      <c r="H342" s="40">
        <f t="shared" si="24"/>
        <v>-1</v>
      </c>
      <c r="I342" s="40">
        <f t="shared" si="25"/>
        <v>237</v>
      </c>
      <c r="J342" s="40">
        <f t="shared" si="26"/>
        <v>3</v>
      </c>
      <c r="K342" s="40"/>
      <c r="L342" s="42">
        <v>0.7222</v>
      </c>
      <c r="M342" s="42">
        <v>0.7778</v>
      </c>
      <c r="N342" s="42">
        <v>0.9444</v>
      </c>
      <c r="O342" s="42">
        <v>0.7222</v>
      </c>
      <c r="P342" s="42">
        <v>0.7778</v>
      </c>
      <c r="Q342" s="42">
        <v>0.8889</v>
      </c>
      <c r="R342" s="42">
        <v>1.0</v>
      </c>
      <c r="S342" s="42">
        <v>0.8333</v>
      </c>
      <c r="T342" s="41">
        <v>0.6667</v>
      </c>
      <c r="U342" s="41">
        <v>0.5556</v>
      </c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ht="15.75" customHeight="1">
      <c r="A343" s="37" t="s">
        <v>642</v>
      </c>
      <c r="B343" s="37" t="s">
        <v>643</v>
      </c>
      <c r="C343" s="37">
        <v>22.0</v>
      </c>
      <c r="D343" s="37">
        <v>1.5110623013E10</v>
      </c>
      <c r="E343" s="37">
        <v>2.30002034E8</v>
      </c>
      <c r="F343" s="37" t="s">
        <v>665</v>
      </c>
      <c r="G343" s="40" t="str">
        <f t="shared" si="23"/>
        <v>Pending</v>
      </c>
      <c r="H343" s="40">
        <f t="shared" si="24"/>
        <v>-1</v>
      </c>
      <c r="I343" s="40">
        <f t="shared" si="25"/>
        <v>237</v>
      </c>
      <c r="J343" s="40">
        <f t="shared" si="26"/>
        <v>3</v>
      </c>
      <c r="K343" s="40"/>
      <c r="L343" s="42">
        <v>1.0</v>
      </c>
      <c r="M343" s="42">
        <v>1.0</v>
      </c>
      <c r="N343" s="42">
        <v>0.9444</v>
      </c>
      <c r="O343" s="42">
        <v>1.0</v>
      </c>
      <c r="P343" s="42">
        <v>0.8889</v>
      </c>
      <c r="Q343" s="42">
        <v>0.7222</v>
      </c>
      <c r="R343" s="42">
        <v>0.8333</v>
      </c>
      <c r="S343" s="42">
        <v>0.8889</v>
      </c>
      <c r="T343" s="41">
        <v>0.5556</v>
      </c>
      <c r="U343" s="41">
        <v>0.0556</v>
      </c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ht="15.75" customHeight="1">
      <c r="A344" s="37" t="s">
        <v>642</v>
      </c>
      <c r="B344" s="37" t="s">
        <v>643</v>
      </c>
      <c r="C344" s="37">
        <v>23.0</v>
      </c>
      <c r="D344" s="37">
        <v>1.5110623044E10</v>
      </c>
      <c r="E344" s="37">
        <v>2.30002035E8</v>
      </c>
      <c r="F344" s="37" t="s">
        <v>666</v>
      </c>
      <c r="G344" s="40" t="str">
        <f t="shared" si="23"/>
        <v>OK</v>
      </c>
      <c r="H344" s="40">
        <f t="shared" si="24"/>
        <v>15</v>
      </c>
      <c r="I344" s="40">
        <f t="shared" si="25"/>
        <v>285</v>
      </c>
      <c r="J344" s="40">
        <f t="shared" si="26"/>
        <v>0</v>
      </c>
      <c r="K344" s="40"/>
      <c r="L344" s="42">
        <v>0.8889</v>
      </c>
      <c r="M344" s="42">
        <v>1.0</v>
      </c>
      <c r="N344" s="42">
        <v>1.0</v>
      </c>
      <c r="O344" s="42">
        <v>0.9444</v>
      </c>
      <c r="P344" s="42">
        <v>0.8889</v>
      </c>
      <c r="Q344" s="42">
        <v>1.0</v>
      </c>
      <c r="R344" s="42">
        <v>1.0</v>
      </c>
      <c r="S344" s="42">
        <v>1.0</v>
      </c>
      <c r="T344" s="41">
        <v>1.0</v>
      </c>
      <c r="U344" s="41">
        <v>0.7778</v>
      </c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ht="15.75" customHeight="1">
      <c r="A345" s="37" t="s">
        <v>642</v>
      </c>
      <c r="B345" s="37" t="s">
        <v>643</v>
      </c>
      <c r="C345" s="37">
        <v>24.0</v>
      </c>
      <c r="D345" s="37">
        <v>1.5110623082E10</v>
      </c>
      <c r="E345" s="37">
        <v>2.30002036E8</v>
      </c>
      <c r="F345" s="37" t="s">
        <v>667</v>
      </c>
      <c r="G345" s="40" t="str">
        <f t="shared" si="23"/>
        <v>OK</v>
      </c>
      <c r="H345" s="40">
        <f t="shared" si="24"/>
        <v>4</v>
      </c>
      <c r="I345" s="40">
        <f t="shared" si="25"/>
        <v>252</v>
      </c>
      <c r="J345" s="40">
        <f t="shared" si="26"/>
        <v>0</v>
      </c>
      <c r="K345" s="40"/>
      <c r="L345" s="42">
        <v>1.0</v>
      </c>
      <c r="M345" s="42">
        <v>0.8889</v>
      </c>
      <c r="N345" s="42">
        <v>0.5556</v>
      </c>
      <c r="O345" s="42">
        <v>0.8889</v>
      </c>
      <c r="P345" s="42">
        <v>0.7778</v>
      </c>
      <c r="Q345" s="42">
        <v>0.8333</v>
      </c>
      <c r="R345" s="42">
        <v>0.9444</v>
      </c>
      <c r="S345" s="42">
        <v>0.8889</v>
      </c>
      <c r="T345" s="41">
        <v>0.7778</v>
      </c>
      <c r="U345" s="41">
        <v>0.8333</v>
      </c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ht="15.75" customHeight="1">
      <c r="A346" s="37" t="s">
        <v>642</v>
      </c>
      <c r="B346" s="37" t="s">
        <v>643</v>
      </c>
      <c r="C346" s="37">
        <v>25.0</v>
      </c>
      <c r="D346" s="37">
        <v>1.5110623063E10</v>
      </c>
      <c r="E346" s="37">
        <v>2.30002037E8</v>
      </c>
      <c r="F346" s="37" t="s">
        <v>668</v>
      </c>
      <c r="G346" s="40" t="str">
        <f t="shared" si="23"/>
        <v>Pending</v>
      </c>
      <c r="H346" s="40">
        <f t="shared" si="24"/>
        <v>-6</v>
      </c>
      <c r="I346" s="40">
        <f t="shared" si="25"/>
        <v>223</v>
      </c>
      <c r="J346" s="40">
        <f t="shared" si="26"/>
        <v>17</v>
      </c>
      <c r="K346" s="40"/>
      <c r="L346" s="42">
        <v>0.0</v>
      </c>
      <c r="M346" s="42">
        <v>0.8889</v>
      </c>
      <c r="N346" s="42">
        <v>0.8333</v>
      </c>
      <c r="O346" s="42">
        <v>0.8889</v>
      </c>
      <c r="P346" s="42">
        <v>0.8889</v>
      </c>
      <c r="Q346" s="42">
        <v>0.6111</v>
      </c>
      <c r="R346" s="42">
        <v>1.0</v>
      </c>
      <c r="S346" s="42">
        <v>0.8333</v>
      </c>
      <c r="T346" s="41">
        <v>0.6667</v>
      </c>
      <c r="U346" s="41">
        <v>0.8333</v>
      </c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ht="15.75" customHeight="1">
      <c r="A347" s="37" t="s">
        <v>642</v>
      </c>
      <c r="B347" s="37" t="s">
        <v>643</v>
      </c>
      <c r="C347" s="37">
        <v>26.0</v>
      </c>
      <c r="D347" s="37">
        <v>1.5110623036E10</v>
      </c>
      <c r="E347" s="37">
        <v>2.30002038E8</v>
      </c>
      <c r="F347" s="37" t="s">
        <v>669</v>
      </c>
      <c r="G347" s="40" t="str">
        <f t="shared" si="23"/>
        <v>Pending</v>
      </c>
      <c r="H347" s="40">
        <f t="shared" si="24"/>
        <v>-26</v>
      </c>
      <c r="I347" s="40">
        <f t="shared" si="25"/>
        <v>163</v>
      </c>
      <c r="J347" s="40">
        <f t="shared" si="26"/>
        <v>77</v>
      </c>
      <c r="K347" s="40"/>
      <c r="L347" s="42">
        <v>0.0</v>
      </c>
      <c r="M347" s="42">
        <v>0.0556</v>
      </c>
      <c r="N347" s="42">
        <v>0.8333</v>
      </c>
      <c r="O347" s="42">
        <v>0.6111</v>
      </c>
      <c r="P347" s="42">
        <v>0.8333</v>
      </c>
      <c r="Q347" s="42">
        <v>1.0</v>
      </c>
      <c r="R347" s="42">
        <v>0.9444</v>
      </c>
      <c r="S347" s="42">
        <v>0.1667</v>
      </c>
      <c r="T347" s="41">
        <v>0.0</v>
      </c>
      <c r="U347" s="41">
        <v>1.0</v>
      </c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ht="15.75" customHeight="1">
      <c r="A348" s="37" t="s">
        <v>642</v>
      </c>
      <c r="B348" s="37" t="s">
        <v>643</v>
      </c>
      <c r="C348" s="37">
        <v>27.0</v>
      </c>
      <c r="D348" s="37">
        <v>1.5110623042E10</v>
      </c>
      <c r="E348" s="37">
        <v>2.3000204E8</v>
      </c>
      <c r="F348" s="37" t="s">
        <v>670</v>
      </c>
      <c r="G348" s="40" t="str">
        <f t="shared" si="23"/>
        <v>Pending</v>
      </c>
      <c r="H348" s="40">
        <f t="shared" si="24"/>
        <v>-8</v>
      </c>
      <c r="I348" s="40">
        <f t="shared" si="25"/>
        <v>215</v>
      </c>
      <c r="J348" s="40">
        <f t="shared" si="26"/>
        <v>25</v>
      </c>
      <c r="K348" s="40"/>
      <c r="L348" s="42">
        <v>1.0</v>
      </c>
      <c r="M348" s="42">
        <v>0.8889</v>
      </c>
      <c r="N348" s="42">
        <v>0.8333</v>
      </c>
      <c r="O348" s="42">
        <v>0.7222</v>
      </c>
      <c r="P348" s="42">
        <v>0.4444</v>
      </c>
      <c r="Q348" s="42">
        <v>0.6111</v>
      </c>
      <c r="R348" s="42">
        <v>0.6111</v>
      </c>
      <c r="S348" s="42">
        <v>0.6667</v>
      </c>
      <c r="T348" s="41">
        <v>0.7222</v>
      </c>
      <c r="U348" s="41">
        <v>0.6667</v>
      </c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ht="15.75" customHeight="1">
      <c r="A349" s="37" t="s">
        <v>642</v>
      </c>
      <c r="B349" s="37" t="s">
        <v>643</v>
      </c>
      <c r="C349" s="37">
        <v>28.0</v>
      </c>
      <c r="D349" s="37">
        <v>1.5110623079E10</v>
      </c>
      <c r="E349" s="37">
        <v>2.30002041E8</v>
      </c>
      <c r="F349" s="37" t="s">
        <v>671</v>
      </c>
      <c r="G349" s="40" t="str">
        <f t="shared" si="23"/>
        <v>OK</v>
      </c>
      <c r="H349" s="40">
        <f t="shared" si="24"/>
        <v>9</v>
      </c>
      <c r="I349" s="40">
        <f t="shared" si="25"/>
        <v>268</v>
      </c>
      <c r="J349" s="40">
        <f t="shared" si="26"/>
        <v>0</v>
      </c>
      <c r="K349" s="40"/>
      <c r="L349" s="42">
        <v>0.9444</v>
      </c>
      <c r="M349" s="42">
        <v>1.0</v>
      </c>
      <c r="N349" s="42">
        <v>0.8889</v>
      </c>
      <c r="O349" s="42">
        <v>1.0</v>
      </c>
      <c r="P349" s="42">
        <v>0.9444</v>
      </c>
      <c r="Q349" s="42">
        <v>0.6667</v>
      </c>
      <c r="R349" s="42">
        <v>0.8333</v>
      </c>
      <c r="S349" s="42">
        <v>0.9444</v>
      </c>
      <c r="T349" s="41">
        <v>0.8889</v>
      </c>
      <c r="U349" s="41">
        <v>0.8333</v>
      </c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ht="15.75" customHeight="1">
      <c r="A350" s="37" t="s">
        <v>642</v>
      </c>
      <c r="B350" s="37" t="s">
        <v>643</v>
      </c>
      <c r="C350" s="37">
        <v>29.0</v>
      </c>
      <c r="D350" s="37">
        <v>1.5110623025E10</v>
      </c>
      <c r="E350" s="37">
        <v>2.30002042E8</v>
      </c>
      <c r="F350" s="37" t="s">
        <v>672</v>
      </c>
      <c r="G350" s="40" t="str">
        <f t="shared" si="23"/>
        <v>OK</v>
      </c>
      <c r="H350" s="40">
        <f t="shared" si="24"/>
        <v>11</v>
      </c>
      <c r="I350" s="40">
        <f t="shared" si="25"/>
        <v>272</v>
      </c>
      <c r="J350" s="40">
        <f t="shared" si="26"/>
        <v>0</v>
      </c>
      <c r="K350" s="40"/>
      <c r="L350" s="42">
        <v>1.0</v>
      </c>
      <c r="M350" s="42">
        <v>1.0</v>
      </c>
      <c r="N350" s="42">
        <v>1.0</v>
      </c>
      <c r="O350" s="42">
        <v>0.9444</v>
      </c>
      <c r="P350" s="42">
        <v>0.7778</v>
      </c>
      <c r="Q350" s="42">
        <v>0.7778</v>
      </c>
      <c r="R350" s="42">
        <v>0.8889</v>
      </c>
      <c r="S350" s="42">
        <v>0.9444</v>
      </c>
      <c r="T350" s="41">
        <v>0.8333</v>
      </c>
      <c r="U350" s="41">
        <v>0.8889</v>
      </c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ht="15.75" customHeight="1">
      <c r="A351" s="37" t="s">
        <v>642</v>
      </c>
      <c r="B351" s="37" t="s">
        <v>643</v>
      </c>
      <c r="C351" s="37">
        <v>30.0</v>
      </c>
      <c r="D351" s="37">
        <v>1.5110623065E10</v>
      </c>
      <c r="E351" s="37">
        <v>2.30002043E8</v>
      </c>
      <c r="F351" s="37" t="s">
        <v>673</v>
      </c>
      <c r="G351" s="40" t="str">
        <f t="shared" si="23"/>
        <v>OK</v>
      </c>
      <c r="H351" s="40">
        <f t="shared" si="24"/>
        <v>2</v>
      </c>
      <c r="I351" s="40">
        <f t="shared" si="25"/>
        <v>245</v>
      </c>
      <c r="J351" s="40">
        <f t="shared" si="26"/>
        <v>0</v>
      </c>
      <c r="K351" s="40"/>
      <c r="L351" s="42">
        <v>0.9444</v>
      </c>
      <c r="M351" s="42">
        <v>0.8889</v>
      </c>
      <c r="N351" s="42">
        <v>0.8889</v>
      </c>
      <c r="O351" s="42">
        <v>0.7778</v>
      </c>
      <c r="P351" s="42">
        <v>0.5556</v>
      </c>
      <c r="Q351" s="42">
        <v>0.7778</v>
      </c>
      <c r="R351" s="42">
        <v>1.0</v>
      </c>
      <c r="S351" s="42">
        <v>0.9444</v>
      </c>
      <c r="T351" s="41">
        <v>0.7778</v>
      </c>
      <c r="U351" s="41">
        <v>0.6111</v>
      </c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ht="15.75" customHeight="1">
      <c r="A352" s="37" t="s">
        <v>642</v>
      </c>
      <c r="B352" s="37" t="s">
        <v>643</v>
      </c>
      <c r="C352" s="37">
        <v>31.0</v>
      </c>
      <c r="D352" s="37">
        <v>1.5110623068E10</v>
      </c>
      <c r="E352" s="37">
        <v>2.30002047E8</v>
      </c>
      <c r="F352" s="37" t="s">
        <v>674</v>
      </c>
      <c r="G352" s="40" t="str">
        <f t="shared" si="23"/>
        <v>OK</v>
      </c>
      <c r="H352" s="40">
        <f t="shared" si="24"/>
        <v>17</v>
      </c>
      <c r="I352" s="40">
        <f t="shared" si="25"/>
        <v>292</v>
      </c>
      <c r="J352" s="40">
        <f t="shared" si="26"/>
        <v>0</v>
      </c>
      <c r="K352" s="40"/>
      <c r="L352" s="42">
        <v>0.7778</v>
      </c>
      <c r="M352" s="42">
        <v>1.0</v>
      </c>
      <c r="N352" s="42">
        <v>1.0</v>
      </c>
      <c r="O352" s="42">
        <v>1.0</v>
      </c>
      <c r="P352" s="42">
        <v>1.0</v>
      </c>
      <c r="Q352" s="42">
        <v>0.9444</v>
      </c>
      <c r="R352" s="42">
        <v>1.0</v>
      </c>
      <c r="S352" s="42">
        <v>1.0</v>
      </c>
      <c r="T352" s="41">
        <v>1.0</v>
      </c>
      <c r="U352" s="41">
        <v>1.0</v>
      </c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ht="15.75" customHeight="1">
      <c r="A353" s="37" t="s">
        <v>642</v>
      </c>
      <c r="B353" s="37" t="s">
        <v>643</v>
      </c>
      <c r="C353" s="37">
        <v>32.0</v>
      </c>
      <c r="D353" s="37">
        <v>1.5110623094E10</v>
      </c>
      <c r="E353" s="37">
        <v>2.30002048E8</v>
      </c>
      <c r="F353" s="37" t="s">
        <v>675</v>
      </c>
      <c r="G353" s="40" t="str">
        <f t="shared" si="23"/>
        <v>OK</v>
      </c>
      <c r="H353" s="40">
        <f t="shared" si="24"/>
        <v>17</v>
      </c>
      <c r="I353" s="40">
        <f t="shared" si="25"/>
        <v>290</v>
      </c>
      <c r="J353" s="40">
        <f t="shared" si="26"/>
        <v>0</v>
      </c>
      <c r="K353" s="40"/>
      <c r="L353" s="42">
        <v>0.9444</v>
      </c>
      <c r="M353" s="42">
        <v>0.9444</v>
      </c>
      <c r="N353" s="42">
        <v>0.9444</v>
      </c>
      <c r="O353" s="42">
        <v>0.9444</v>
      </c>
      <c r="P353" s="42">
        <v>1.0</v>
      </c>
      <c r="Q353" s="42">
        <v>0.9444</v>
      </c>
      <c r="R353" s="42">
        <v>1.0</v>
      </c>
      <c r="S353" s="42">
        <v>1.0</v>
      </c>
      <c r="T353" s="41">
        <v>1.0</v>
      </c>
      <c r="U353" s="41">
        <v>0.9444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ht="15.75" customHeight="1">
      <c r="A354" s="37" t="s">
        <v>642</v>
      </c>
      <c r="B354" s="37" t="s">
        <v>643</v>
      </c>
      <c r="C354" s="37">
        <v>33.0</v>
      </c>
      <c r="D354" s="37">
        <v>1.5110623064E10</v>
      </c>
      <c r="E354" s="37">
        <v>2.30002052E8</v>
      </c>
      <c r="F354" s="37" t="s">
        <v>676</v>
      </c>
      <c r="G354" s="40" t="str">
        <f t="shared" si="23"/>
        <v>OK</v>
      </c>
      <c r="H354" s="40">
        <f t="shared" si="24"/>
        <v>17</v>
      </c>
      <c r="I354" s="40">
        <f t="shared" si="25"/>
        <v>292</v>
      </c>
      <c r="J354" s="40">
        <f t="shared" si="26"/>
        <v>0</v>
      </c>
      <c r="K354" s="40"/>
      <c r="L354" s="42">
        <v>0.7222</v>
      </c>
      <c r="M354" s="42">
        <v>1.0</v>
      </c>
      <c r="N354" s="42">
        <v>1.0</v>
      </c>
      <c r="O354" s="42">
        <v>1.0</v>
      </c>
      <c r="P354" s="42">
        <v>1.0</v>
      </c>
      <c r="Q354" s="42">
        <v>1.0</v>
      </c>
      <c r="R354" s="42">
        <v>1.0</v>
      </c>
      <c r="S354" s="42">
        <v>1.0</v>
      </c>
      <c r="T354" s="41">
        <v>1.0</v>
      </c>
      <c r="U354" s="41">
        <v>1.0</v>
      </c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ht="15.75" customHeight="1">
      <c r="A355" s="37" t="s">
        <v>642</v>
      </c>
      <c r="B355" s="37" t="s">
        <v>643</v>
      </c>
      <c r="C355" s="37">
        <v>34.0</v>
      </c>
      <c r="D355" s="37">
        <v>1.5110623077E10</v>
      </c>
      <c r="E355" s="37">
        <v>2.30002055E8</v>
      </c>
      <c r="F355" s="37" t="s">
        <v>677</v>
      </c>
      <c r="G355" s="40" t="str">
        <f t="shared" si="23"/>
        <v>OK</v>
      </c>
      <c r="H355" s="40">
        <f t="shared" si="24"/>
        <v>5</v>
      </c>
      <c r="I355" s="40">
        <f t="shared" si="25"/>
        <v>255</v>
      </c>
      <c r="J355" s="40">
        <f t="shared" si="26"/>
        <v>0</v>
      </c>
      <c r="K355" s="40"/>
      <c r="L355" s="42">
        <v>0.7222</v>
      </c>
      <c r="M355" s="42">
        <v>1.0</v>
      </c>
      <c r="N355" s="42">
        <v>0.8889</v>
      </c>
      <c r="O355" s="42">
        <v>0.8889</v>
      </c>
      <c r="P355" s="42">
        <v>0.8889</v>
      </c>
      <c r="Q355" s="42">
        <v>0.8333</v>
      </c>
      <c r="R355" s="42">
        <v>1.0</v>
      </c>
      <c r="S355" s="42">
        <v>0.8889</v>
      </c>
      <c r="T355" s="41">
        <v>0.6667</v>
      </c>
      <c r="U355" s="41">
        <v>0.7222</v>
      </c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ht="15.75" customHeight="1">
      <c r="A356" s="37" t="s">
        <v>642</v>
      </c>
      <c r="B356" s="37" t="s">
        <v>643</v>
      </c>
      <c r="C356" s="37">
        <v>35.0</v>
      </c>
      <c r="D356" s="37">
        <v>1.5110623057E10</v>
      </c>
      <c r="E356" s="37">
        <v>2.30002056E8</v>
      </c>
      <c r="F356" s="37" t="s">
        <v>678</v>
      </c>
      <c r="G356" s="40" t="str">
        <f t="shared" si="23"/>
        <v>OK</v>
      </c>
      <c r="H356" s="40">
        <f t="shared" si="24"/>
        <v>17</v>
      </c>
      <c r="I356" s="40">
        <f t="shared" si="25"/>
        <v>290</v>
      </c>
      <c r="J356" s="40">
        <f t="shared" si="26"/>
        <v>0</v>
      </c>
      <c r="K356" s="40"/>
      <c r="L356" s="42">
        <v>1.0</v>
      </c>
      <c r="M356" s="42">
        <v>1.0</v>
      </c>
      <c r="N356" s="42">
        <v>1.0</v>
      </c>
      <c r="O356" s="42">
        <v>1.0</v>
      </c>
      <c r="P356" s="42">
        <v>1.0</v>
      </c>
      <c r="Q356" s="42">
        <v>0.8333</v>
      </c>
      <c r="R356" s="42">
        <v>1.0</v>
      </c>
      <c r="S356" s="42">
        <v>0.9444</v>
      </c>
      <c r="T356" s="41">
        <v>1.0</v>
      </c>
      <c r="U356" s="41">
        <v>0.8889</v>
      </c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ht="15.75" customHeight="1">
      <c r="A357" s="37" t="s">
        <v>642</v>
      </c>
      <c r="B357" s="37" t="s">
        <v>679</v>
      </c>
      <c r="C357" s="37">
        <v>36.0</v>
      </c>
      <c r="D357" s="37">
        <v>1.5110623092E10</v>
      </c>
      <c r="E357" s="37">
        <v>2.30002057E8</v>
      </c>
      <c r="F357" s="37" t="s">
        <v>680</v>
      </c>
      <c r="G357" s="40" t="str">
        <f t="shared" si="23"/>
        <v>Pending</v>
      </c>
      <c r="H357" s="40">
        <f t="shared" si="24"/>
        <v>-19</v>
      </c>
      <c r="I357" s="40">
        <f t="shared" si="25"/>
        <v>182</v>
      </c>
      <c r="J357" s="40">
        <f t="shared" si="26"/>
        <v>58</v>
      </c>
      <c r="K357" s="40"/>
      <c r="L357" s="42">
        <v>0.7222</v>
      </c>
      <c r="M357" s="42">
        <v>0.6111</v>
      </c>
      <c r="N357" s="42">
        <v>0.5556</v>
      </c>
      <c r="O357" s="42">
        <v>0.5556</v>
      </c>
      <c r="P357" s="42">
        <v>0.5</v>
      </c>
      <c r="Q357" s="42">
        <v>0.7222</v>
      </c>
      <c r="R357" s="42">
        <v>0.7222</v>
      </c>
      <c r="S357" s="42">
        <v>0.5556</v>
      </c>
      <c r="T357" s="41">
        <v>0.5</v>
      </c>
      <c r="U357" s="41">
        <v>0.6111</v>
      </c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ht="15.75" customHeight="1">
      <c r="A358" s="37" t="s">
        <v>642</v>
      </c>
      <c r="B358" s="37" t="s">
        <v>679</v>
      </c>
      <c r="C358" s="37">
        <v>37.0</v>
      </c>
      <c r="D358" s="37">
        <v>1.5110623023E10</v>
      </c>
      <c r="E358" s="37">
        <v>2.30002061E8</v>
      </c>
      <c r="F358" s="37" t="s">
        <v>681</v>
      </c>
      <c r="G358" s="40" t="str">
        <f t="shared" si="23"/>
        <v>OK</v>
      </c>
      <c r="H358" s="40">
        <f t="shared" si="24"/>
        <v>5</v>
      </c>
      <c r="I358" s="40">
        <f t="shared" si="25"/>
        <v>255</v>
      </c>
      <c r="J358" s="40">
        <f t="shared" si="26"/>
        <v>0</v>
      </c>
      <c r="K358" s="40"/>
      <c r="L358" s="42">
        <v>0.7778</v>
      </c>
      <c r="M358" s="42">
        <v>0.8889</v>
      </c>
      <c r="N358" s="42">
        <v>0.6111</v>
      </c>
      <c r="O358" s="42">
        <v>0.8889</v>
      </c>
      <c r="P358" s="42">
        <v>0.9444</v>
      </c>
      <c r="Q358" s="42">
        <v>0.7778</v>
      </c>
      <c r="R358" s="42">
        <v>0.8889</v>
      </c>
      <c r="S358" s="42">
        <v>1.0</v>
      </c>
      <c r="T358" s="41">
        <v>0.9444</v>
      </c>
      <c r="U358" s="41">
        <v>0.7778</v>
      </c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ht="15.75" customHeight="1">
      <c r="A359" s="37" t="s">
        <v>642</v>
      </c>
      <c r="B359" s="37" t="s">
        <v>679</v>
      </c>
      <c r="C359" s="37">
        <v>38.0</v>
      </c>
      <c r="D359" s="37">
        <v>1.5110623049E10</v>
      </c>
      <c r="E359" s="37">
        <v>2.30002066E8</v>
      </c>
      <c r="F359" s="37" t="s">
        <v>682</v>
      </c>
      <c r="G359" s="40" t="str">
        <f t="shared" si="23"/>
        <v>OK</v>
      </c>
      <c r="H359" s="40">
        <f t="shared" si="24"/>
        <v>6</v>
      </c>
      <c r="I359" s="40">
        <f t="shared" si="25"/>
        <v>257</v>
      </c>
      <c r="J359" s="40">
        <f t="shared" si="26"/>
        <v>0</v>
      </c>
      <c r="K359" s="40"/>
      <c r="L359" s="42">
        <v>0.0556</v>
      </c>
      <c r="M359" s="42">
        <v>0.8889</v>
      </c>
      <c r="N359" s="42">
        <v>1.0</v>
      </c>
      <c r="O359" s="42">
        <v>0.9444</v>
      </c>
      <c r="P359" s="42">
        <v>1.0</v>
      </c>
      <c r="Q359" s="42">
        <v>1.0</v>
      </c>
      <c r="R359" s="42">
        <v>1.0</v>
      </c>
      <c r="S359" s="42">
        <v>0.8333</v>
      </c>
      <c r="T359" s="41">
        <v>0.9444</v>
      </c>
      <c r="U359" s="41">
        <v>0.8889</v>
      </c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ht="15.75" customHeight="1">
      <c r="A360" s="37" t="s">
        <v>642</v>
      </c>
      <c r="B360" s="37" t="s">
        <v>679</v>
      </c>
      <c r="C360" s="37">
        <v>39.0</v>
      </c>
      <c r="D360" s="37">
        <v>1.5110623055E10</v>
      </c>
      <c r="E360" s="37">
        <v>2.30002067E8</v>
      </c>
      <c r="F360" s="37" t="s">
        <v>683</v>
      </c>
      <c r="G360" s="40" t="str">
        <f t="shared" si="23"/>
        <v>OK</v>
      </c>
      <c r="H360" s="40">
        <f t="shared" si="24"/>
        <v>4</v>
      </c>
      <c r="I360" s="40">
        <f t="shared" si="25"/>
        <v>252</v>
      </c>
      <c r="J360" s="40">
        <f t="shared" si="26"/>
        <v>0</v>
      </c>
      <c r="K360" s="40"/>
      <c r="L360" s="42">
        <v>1.0</v>
      </c>
      <c r="M360" s="42">
        <v>0.8889</v>
      </c>
      <c r="N360" s="42">
        <v>1.0</v>
      </c>
      <c r="O360" s="42">
        <v>1.0</v>
      </c>
      <c r="P360" s="42">
        <v>0.8889</v>
      </c>
      <c r="Q360" s="42">
        <v>0.9444</v>
      </c>
      <c r="R360" s="42">
        <v>0.3333</v>
      </c>
      <c r="S360" s="42">
        <v>0.6667</v>
      </c>
      <c r="T360" s="41">
        <v>0.8889</v>
      </c>
      <c r="U360" s="41">
        <v>0.7778</v>
      </c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ht="15.75" customHeight="1">
      <c r="A361" s="37" t="s">
        <v>642</v>
      </c>
      <c r="B361" s="37" t="s">
        <v>679</v>
      </c>
      <c r="C361" s="37">
        <v>40.0</v>
      </c>
      <c r="D361" s="37">
        <v>1.5110623046E10</v>
      </c>
      <c r="E361" s="37">
        <v>2.30002073E8</v>
      </c>
      <c r="F361" s="37" t="s">
        <v>684</v>
      </c>
      <c r="G361" s="40" t="str">
        <f t="shared" si="23"/>
        <v>OK</v>
      </c>
      <c r="H361" s="40">
        <f t="shared" si="24"/>
        <v>10</v>
      </c>
      <c r="I361" s="40">
        <f t="shared" si="25"/>
        <v>270</v>
      </c>
      <c r="J361" s="40">
        <f t="shared" si="26"/>
        <v>0</v>
      </c>
      <c r="K361" s="40"/>
      <c r="L361" s="42">
        <v>1.0</v>
      </c>
      <c r="M361" s="42">
        <v>1.0</v>
      </c>
      <c r="N361" s="42">
        <v>0.8889</v>
      </c>
      <c r="O361" s="42">
        <v>0.8889</v>
      </c>
      <c r="P361" s="42">
        <v>0.8889</v>
      </c>
      <c r="Q361" s="42">
        <v>0.8889</v>
      </c>
      <c r="R361" s="42">
        <v>0.7778</v>
      </c>
      <c r="S361" s="42">
        <v>1.0</v>
      </c>
      <c r="T361" s="41">
        <v>0.7222</v>
      </c>
      <c r="U361" s="41">
        <v>0.9444</v>
      </c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ht="15.75" customHeight="1">
      <c r="A362" s="37" t="s">
        <v>642</v>
      </c>
      <c r="B362" s="37" t="s">
        <v>679</v>
      </c>
      <c r="C362" s="37">
        <v>41.0</v>
      </c>
      <c r="D362" s="37">
        <v>1.5110623061E10</v>
      </c>
      <c r="E362" s="37">
        <v>2.30002075E8</v>
      </c>
      <c r="F362" s="37" t="s">
        <v>685</v>
      </c>
      <c r="G362" s="40" t="str">
        <f t="shared" si="23"/>
        <v>OK</v>
      </c>
      <c r="H362" s="40">
        <f t="shared" si="24"/>
        <v>18</v>
      </c>
      <c r="I362" s="40">
        <f t="shared" si="25"/>
        <v>295</v>
      </c>
      <c r="J362" s="40">
        <f t="shared" si="26"/>
        <v>0</v>
      </c>
      <c r="K362" s="40"/>
      <c r="L362" s="42">
        <v>0.9444</v>
      </c>
      <c r="M362" s="42">
        <v>1.0</v>
      </c>
      <c r="N362" s="42">
        <v>1.0</v>
      </c>
      <c r="O362" s="42">
        <v>1.0</v>
      </c>
      <c r="P362" s="42">
        <v>1.0</v>
      </c>
      <c r="Q362" s="42">
        <v>0.9444</v>
      </c>
      <c r="R362" s="42">
        <v>1.0</v>
      </c>
      <c r="S362" s="42">
        <v>0.9444</v>
      </c>
      <c r="T362" s="41">
        <v>1.0</v>
      </c>
      <c r="U362" s="41">
        <v>1.0</v>
      </c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ht="15.75" customHeight="1">
      <c r="A363" s="37" t="s">
        <v>642</v>
      </c>
      <c r="B363" s="37" t="s">
        <v>679</v>
      </c>
      <c r="C363" s="37">
        <v>42.0</v>
      </c>
      <c r="D363" s="37">
        <v>1.5110623003E10</v>
      </c>
      <c r="E363" s="37">
        <v>2.30002076E8</v>
      </c>
      <c r="F363" s="37" t="s">
        <v>686</v>
      </c>
      <c r="G363" s="40" t="str">
        <f t="shared" si="23"/>
        <v>OK</v>
      </c>
      <c r="H363" s="40">
        <f t="shared" si="24"/>
        <v>3</v>
      </c>
      <c r="I363" s="40">
        <f t="shared" si="25"/>
        <v>250</v>
      </c>
      <c r="J363" s="40">
        <f t="shared" si="26"/>
        <v>0</v>
      </c>
      <c r="K363" s="40"/>
      <c r="L363" s="42">
        <v>1.0</v>
      </c>
      <c r="M363" s="42">
        <v>0.8889</v>
      </c>
      <c r="N363" s="42">
        <v>0.8889</v>
      </c>
      <c r="O363" s="42">
        <v>0.8889</v>
      </c>
      <c r="P363" s="42">
        <v>0.7222</v>
      </c>
      <c r="Q363" s="42">
        <v>0.0556</v>
      </c>
      <c r="R363" s="42">
        <v>1.0</v>
      </c>
      <c r="S363" s="42">
        <v>1.0</v>
      </c>
      <c r="T363" s="41">
        <v>0.9444</v>
      </c>
      <c r="U363" s="41">
        <v>0.9444</v>
      </c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ht="15.75" customHeight="1">
      <c r="A364" s="37" t="s">
        <v>642</v>
      </c>
      <c r="B364" s="37" t="s">
        <v>679</v>
      </c>
      <c r="C364" s="37">
        <v>43.0</v>
      </c>
      <c r="D364" s="37">
        <v>1.5110623102E10</v>
      </c>
      <c r="E364" s="37">
        <v>2.30002079E8</v>
      </c>
      <c r="F364" s="37" t="s">
        <v>687</v>
      </c>
      <c r="G364" s="40" t="str">
        <f t="shared" si="23"/>
        <v>Pending</v>
      </c>
      <c r="H364" s="40">
        <f t="shared" si="24"/>
        <v>-5</v>
      </c>
      <c r="I364" s="40">
        <f t="shared" si="25"/>
        <v>225</v>
      </c>
      <c r="J364" s="40">
        <f t="shared" si="26"/>
        <v>15</v>
      </c>
      <c r="K364" s="40"/>
      <c r="L364" s="42">
        <v>0.0</v>
      </c>
      <c r="M364" s="42">
        <v>0.7778</v>
      </c>
      <c r="N364" s="42">
        <v>0.8333</v>
      </c>
      <c r="O364" s="42">
        <v>0.5556</v>
      </c>
      <c r="P364" s="42">
        <v>0.7778</v>
      </c>
      <c r="Q364" s="42">
        <v>0.7222</v>
      </c>
      <c r="R364" s="42">
        <v>1.0</v>
      </c>
      <c r="S364" s="42">
        <v>0.9444</v>
      </c>
      <c r="T364" s="41">
        <v>0.9444</v>
      </c>
      <c r="U364" s="41">
        <v>0.9444</v>
      </c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ht="15.75" customHeight="1">
      <c r="A365" s="37" t="s">
        <v>642</v>
      </c>
      <c r="B365" s="37" t="s">
        <v>679</v>
      </c>
      <c r="C365" s="37">
        <v>44.0</v>
      </c>
      <c r="D365" s="37">
        <v>1.5110623047E10</v>
      </c>
      <c r="E365" s="37">
        <v>2.30002081E8</v>
      </c>
      <c r="F365" s="37" t="s">
        <v>688</v>
      </c>
      <c r="G365" s="40" t="str">
        <f t="shared" si="23"/>
        <v>OK</v>
      </c>
      <c r="H365" s="40">
        <f t="shared" si="24"/>
        <v>17</v>
      </c>
      <c r="I365" s="40">
        <f t="shared" si="25"/>
        <v>290</v>
      </c>
      <c r="J365" s="40">
        <f t="shared" si="26"/>
        <v>0</v>
      </c>
      <c r="K365" s="40"/>
      <c r="L365" s="42">
        <v>1.0</v>
      </c>
      <c r="M365" s="42">
        <v>1.0</v>
      </c>
      <c r="N365" s="42">
        <v>1.0</v>
      </c>
      <c r="O365" s="42">
        <v>0.9444</v>
      </c>
      <c r="P365" s="42">
        <v>1.0</v>
      </c>
      <c r="Q365" s="42">
        <v>0.9444</v>
      </c>
      <c r="R365" s="42">
        <v>1.0</v>
      </c>
      <c r="S365" s="42">
        <v>1.0</v>
      </c>
      <c r="T365" s="41">
        <v>0.7778</v>
      </c>
      <c r="U365" s="41">
        <v>1.0</v>
      </c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ht="15.75" customHeight="1">
      <c r="A366" s="37" t="s">
        <v>642</v>
      </c>
      <c r="B366" s="37" t="s">
        <v>679</v>
      </c>
      <c r="C366" s="37">
        <v>45.0</v>
      </c>
      <c r="D366" s="37">
        <v>1.5110623086E10</v>
      </c>
      <c r="E366" s="37">
        <v>2.30002082E8</v>
      </c>
      <c r="F366" s="37" t="s">
        <v>689</v>
      </c>
      <c r="G366" s="40" t="str">
        <f t="shared" si="23"/>
        <v>OK</v>
      </c>
      <c r="H366" s="40">
        <f t="shared" si="24"/>
        <v>6</v>
      </c>
      <c r="I366" s="40">
        <f t="shared" si="25"/>
        <v>257</v>
      </c>
      <c r="J366" s="40">
        <f t="shared" si="26"/>
        <v>0</v>
      </c>
      <c r="K366" s="40"/>
      <c r="L366" s="42">
        <v>0.7778</v>
      </c>
      <c r="M366" s="42">
        <v>1.0</v>
      </c>
      <c r="N366" s="42">
        <v>1.0</v>
      </c>
      <c r="O366" s="42">
        <v>0.8889</v>
      </c>
      <c r="P366" s="42">
        <v>0.6111</v>
      </c>
      <c r="Q366" s="42">
        <v>0.8889</v>
      </c>
      <c r="R366" s="42">
        <v>0.8889</v>
      </c>
      <c r="S366" s="42">
        <v>0.8889</v>
      </c>
      <c r="T366" s="41">
        <v>1.0</v>
      </c>
      <c r="U366" s="41">
        <v>0.6111</v>
      </c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ht="15.75" customHeight="1">
      <c r="A367" s="37" t="s">
        <v>642</v>
      </c>
      <c r="B367" s="37" t="s">
        <v>679</v>
      </c>
      <c r="C367" s="37">
        <v>46.0</v>
      </c>
      <c r="D367" s="37">
        <v>1.5110623014E10</v>
      </c>
      <c r="E367" s="37">
        <v>2.30002089E8</v>
      </c>
      <c r="F367" s="37" t="s">
        <v>690</v>
      </c>
      <c r="G367" s="40" t="str">
        <f t="shared" si="23"/>
        <v>Pending</v>
      </c>
      <c r="H367" s="40">
        <f t="shared" si="24"/>
        <v>-10</v>
      </c>
      <c r="I367" s="40">
        <f t="shared" si="25"/>
        <v>210</v>
      </c>
      <c r="J367" s="40">
        <f t="shared" si="26"/>
        <v>30</v>
      </c>
      <c r="K367" s="40"/>
      <c r="L367" s="42">
        <v>1.0</v>
      </c>
      <c r="M367" s="42">
        <v>0.8333</v>
      </c>
      <c r="N367" s="42">
        <v>0.5556</v>
      </c>
      <c r="O367" s="42">
        <v>0.7222</v>
      </c>
      <c r="P367" s="42">
        <v>0.7778</v>
      </c>
      <c r="Q367" s="42">
        <v>0.5556</v>
      </c>
      <c r="R367" s="42">
        <v>0.3889</v>
      </c>
      <c r="S367" s="42">
        <v>0.8889</v>
      </c>
      <c r="T367" s="41">
        <v>0.6111</v>
      </c>
      <c r="U367" s="41">
        <v>0.6667</v>
      </c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ht="15.75" customHeight="1">
      <c r="A368" s="37" t="s">
        <v>642</v>
      </c>
      <c r="B368" s="37" t="s">
        <v>679</v>
      </c>
      <c r="C368" s="37">
        <v>47.0</v>
      </c>
      <c r="D368" s="37">
        <v>1.5110623026E10</v>
      </c>
      <c r="E368" s="37">
        <v>2.3000209E8</v>
      </c>
      <c r="F368" s="37" t="s">
        <v>691</v>
      </c>
      <c r="G368" s="40" t="str">
        <f t="shared" si="23"/>
        <v>Pending</v>
      </c>
      <c r="H368" s="40">
        <f t="shared" si="24"/>
        <v>-31</v>
      </c>
      <c r="I368" s="40">
        <f t="shared" si="25"/>
        <v>148</v>
      </c>
      <c r="J368" s="40">
        <f t="shared" si="26"/>
        <v>92</v>
      </c>
      <c r="K368" s="40"/>
      <c r="L368" s="42">
        <v>0.7222</v>
      </c>
      <c r="M368" s="42">
        <v>0.5</v>
      </c>
      <c r="N368" s="42">
        <v>0.6111</v>
      </c>
      <c r="O368" s="42">
        <v>0.6111</v>
      </c>
      <c r="P368" s="42">
        <v>0.5556</v>
      </c>
      <c r="Q368" s="42">
        <v>0.3889</v>
      </c>
      <c r="R368" s="42">
        <v>0.4444</v>
      </c>
      <c r="S368" s="42">
        <v>0.5556</v>
      </c>
      <c r="T368" s="41">
        <v>0.4444</v>
      </c>
      <c r="U368" s="41">
        <v>0.1111</v>
      </c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ht="15.75" customHeight="1">
      <c r="A369" s="37" t="s">
        <v>642</v>
      </c>
      <c r="B369" s="37" t="s">
        <v>679</v>
      </c>
      <c r="C369" s="37">
        <v>48.0</v>
      </c>
      <c r="D369" s="37">
        <v>1.5110624079E10</v>
      </c>
      <c r="E369" s="37">
        <v>2.41002004E8</v>
      </c>
      <c r="F369" s="37" t="s">
        <v>692</v>
      </c>
      <c r="G369" s="40" t="str">
        <f t="shared" si="23"/>
        <v>OK</v>
      </c>
      <c r="H369" s="40">
        <f t="shared" si="24"/>
        <v>9</v>
      </c>
      <c r="I369" s="40">
        <f t="shared" si="25"/>
        <v>267</v>
      </c>
      <c r="J369" s="40">
        <f t="shared" si="26"/>
        <v>0</v>
      </c>
      <c r="K369" s="40"/>
      <c r="L369" s="42">
        <v>0.1667</v>
      </c>
      <c r="M369" s="42">
        <v>1.0</v>
      </c>
      <c r="N369" s="42">
        <v>1.0</v>
      </c>
      <c r="O369" s="42">
        <v>1.0</v>
      </c>
      <c r="P369" s="42">
        <v>0.8889</v>
      </c>
      <c r="Q369" s="42">
        <v>0.9444</v>
      </c>
      <c r="R369" s="42">
        <v>1.0</v>
      </c>
      <c r="S369" s="42">
        <v>1.0</v>
      </c>
      <c r="T369" s="41">
        <v>0.8889</v>
      </c>
      <c r="U369" s="41">
        <v>1.0</v>
      </c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ht="15.75" customHeight="1">
      <c r="A370" s="37" t="s">
        <v>642</v>
      </c>
      <c r="B370" s="37" t="s">
        <v>679</v>
      </c>
      <c r="C370" s="37">
        <v>49.0</v>
      </c>
      <c r="D370" s="37">
        <v>1.5110624163E10</v>
      </c>
      <c r="E370" s="37">
        <v>2.41002012E8</v>
      </c>
      <c r="F370" s="37" t="s">
        <v>693</v>
      </c>
      <c r="G370" s="40" t="str">
        <f t="shared" si="23"/>
        <v>Pending</v>
      </c>
      <c r="H370" s="40">
        <f t="shared" si="24"/>
        <v>-61</v>
      </c>
      <c r="I370" s="40">
        <f t="shared" si="25"/>
        <v>58</v>
      </c>
      <c r="J370" s="40">
        <f t="shared" si="26"/>
        <v>182</v>
      </c>
      <c r="K370" s="40"/>
      <c r="L370" s="42">
        <v>0.0556</v>
      </c>
      <c r="M370" s="42">
        <v>0.2222</v>
      </c>
      <c r="N370" s="42">
        <v>0.1667</v>
      </c>
      <c r="O370" s="42">
        <v>0.1111</v>
      </c>
      <c r="P370" s="42">
        <v>0.2778</v>
      </c>
      <c r="Q370" s="42">
        <v>0.3889</v>
      </c>
      <c r="R370" s="42">
        <v>0.5556</v>
      </c>
      <c r="S370" s="42">
        <v>0.1667</v>
      </c>
      <c r="T370" s="41">
        <v>0.0</v>
      </c>
      <c r="U370" s="41">
        <v>0.0</v>
      </c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ht="15.75" customHeight="1">
      <c r="A371" s="37" t="s">
        <v>642</v>
      </c>
      <c r="B371" s="37" t="s">
        <v>679</v>
      </c>
      <c r="C371" s="37">
        <v>50.0</v>
      </c>
      <c r="D371" s="37">
        <v>1.5110624154E10</v>
      </c>
      <c r="E371" s="37">
        <v>2.41002013E8</v>
      </c>
      <c r="F371" s="37" t="s">
        <v>694</v>
      </c>
      <c r="G371" s="40" t="str">
        <f t="shared" si="23"/>
        <v>Pending</v>
      </c>
      <c r="H371" s="40">
        <f t="shared" si="24"/>
        <v>-24</v>
      </c>
      <c r="I371" s="40">
        <f t="shared" si="25"/>
        <v>167</v>
      </c>
      <c r="J371" s="40">
        <f t="shared" si="26"/>
        <v>73</v>
      </c>
      <c r="K371" s="40"/>
      <c r="L371" s="42">
        <v>0.0556</v>
      </c>
      <c r="M371" s="42">
        <v>0.2222</v>
      </c>
      <c r="N371" s="42">
        <v>0.3333</v>
      </c>
      <c r="O371" s="42">
        <v>0.6667</v>
      </c>
      <c r="P371" s="42">
        <v>0.6667</v>
      </c>
      <c r="Q371" s="42">
        <v>1.0</v>
      </c>
      <c r="R371" s="42">
        <v>1.0</v>
      </c>
      <c r="S371" s="42">
        <v>0.3889</v>
      </c>
      <c r="T371" s="41">
        <v>0.6111</v>
      </c>
      <c r="U371" s="41">
        <v>0.6111</v>
      </c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ht="15.75" customHeight="1">
      <c r="A372" s="37" t="s">
        <v>642</v>
      </c>
      <c r="B372" s="37" t="s">
        <v>679</v>
      </c>
      <c r="C372" s="37">
        <v>51.0</v>
      </c>
      <c r="D372" s="37">
        <v>1.5110624111E10</v>
      </c>
      <c r="E372" s="37">
        <v>2.41002018E8</v>
      </c>
      <c r="F372" s="37" t="s">
        <v>695</v>
      </c>
      <c r="G372" s="40" t="str">
        <f t="shared" si="23"/>
        <v>OK</v>
      </c>
      <c r="H372" s="40">
        <f t="shared" si="24"/>
        <v>9</v>
      </c>
      <c r="I372" s="40">
        <f t="shared" si="25"/>
        <v>267</v>
      </c>
      <c r="J372" s="40">
        <f t="shared" si="26"/>
        <v>0</v>
      </c>
      <c r="K372" s="40"/>
      <c r="L372" s="42">
        <v>0.7778</v>
      </c>
      <c r="M372" s="42">
        <v>1.0</v>
      </c>
      <c r="N372" s="42">
        <v>1.0</v>
      </c>
      <c r="O372" s="42">
        <v>0.8889</v>
      </c>
      <c r="P372" s="42">
        <v>0.8889</v>
      </c>
      <c r="Q372" s="42">
        <v>0.9444</v>
      </c>
      <c r="R372" s="42">
        <v>1.0</v>
      </c>
      <c r="S372" s="42">
        <v>1.0</v>
      </c>
      <c r="T372" s="41">
        <v>0.8889</v>
      </c>
      <c r="U372" s="41">
        <v>0.5</v>
      </c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ht="15.75" customHeight="1">
      <c r="A373" s="37" t="s">
        <v>642</v>
      </c>
      <c r="B373" s="37" t="s">
        <v>679</v>
      </c>
      <c r="C373" s="37">
        <v>52.0</v>
      </c>
      <c r="D373" s="37">
        <v>1.5110624071E10</v>
      </c>
      <c r="E373" s="37">
        <v>2.41002025E8</v>
      </c>
      <c r="F373" s="37" t="s">
        <v>696</v>
      </c>
      <c r="G373" s="40" t="str">
        <f t="shared" si="23"/>
        <v>OK</v>
      </c>
      <c r="H373" s="40">
        <f t="shared" si="24"/>
        <v>12</v>
      </c>
      <c r="I373" s="40">
        <f t="shared" si="25"/>
        <v>277</v>
      </c>
      <c r="J373" s="40">
        <f t="shared" si="26"/>
        <v>0</v>
      </c>
      <c r="K373" s="40"/>
      <c r="L373" s="42">
        <v>0.7222</v>
      </c>
      <c r="M373" s="42">
        <v>0.8889</v>
      </c>
      <c r="N373" s="42">
        <v>1.0</v>
      </c>
      <c r="O373" s="42">
        <v>0.9444</v>
      </c>
      <c r="P373" s="42">
        <v>1.0</v>
      </c>
      <c r="Q373" s="42">
        <v>1.0</v>
      </c>
      <c r="R373" s="42">
        <v>1.0</v>
      </c>
      <c r="S373" s="42">
        <v>0.8889</v>
      </c>
      <c r="T373" s="41">
        <v>0.8333</v>
      </c>
      <c r="U373" s="41">
        <v>0.9444</v>
      </c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ht="15.75" customHeight="1">
      <c r="A374" s="37" t="s">
        <v>642</v>
      </c>
      <c r="B374" s="37" t="s">
        <v>679</v>
      </c>
      <c r="C374" s="37">
        <v>53.0</v>
      </c>
      <c r="D374" s="37">
        <v>1.5110624074E10</v>
      </c>
      <c r="E374" s="37">
        <v>2.41002026E8</v>
      </c>
      <c r="F374" s="37" t="s">
        <v>697</v>
      </c>
      <c r="G374" s="40" t="str">
        <f t="shared" si="23"/>
        <v>OK</v>
      </c>
      <c r="H374" s="40">
        <f t="shared" si="24"/>
        <v>16</v>
      </c>
      <c r="I374" s="40">
        <f t="shared" si="25"/>
        <v>288</v>
      </c>
      <c r="J374" s="40">
        <f t="shared" si="26"/>
        <v>0</v>
      </c>
      <c r="K374" s="40"/>
      <c r="L374" s="42">
        <v>1.0</v>
      </c>
      <c r="M374" s="42">
        <v>1.0</v>
      </c>
      <c r="N374" s="42">
        <v>1.0</v>
      </c>
      <c r="O374" s="42">
        <v>1.0</v>
      </c>
      <c r="P374" s="42">
        <v>1.0</v>
      </c>
      <c r="Q374" s="42">
        <v>0.8889</v>
      </c>
      <c r="R374" s="42">
        <v>1.0</v>
      </c>
      <c r="S374" s="42">
        <v>1.0</v>
      </c>
      <c r="T374" s="41">
        <v>0.7222</v>
      </c>
      <c r="U374" s="41">
        <v>1.0</v>
      </c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ht="15.75" customHeight="1">
      <c r="A375" s="37" t="s">
        <v>642</v>
      </c>
      <c r="B375" s="37" t="s">
        <v>679</v>
      </c>
      <c r="C375" s="37">
        <v>54.0</v>
      </c>
      <c r="D375" s="37">
        <v>1.5110624129E10</v>
      </c>
      <c r="E375" s="37">
        <v>2.4100203E8</v>
      </c>
      <c r="F375" s="37" t="s">
        <v>698</v>
      </c>
      <c r="G375" s="40" t="str">
        <f t="shared" si="23"/>
        <v>Pending</v>
      </c>
      <c r="H375" s="40">
        <f t="shared" si="24"/>
        <v>-17</v>
      </c>
      <c r="I375" s="40">
        <f t="shared" si="25"/>
        <v>190</v>
      </c>
      <c r="J375" s="40">
        <f t="shared" si="26"/>
        <v>50</v>
      </c>
      <c r="K375" s="40"/>
      <c r="L375" s="42">
        <v>0.0</v>
      </c>
      <c r="M375" s="42">
        <v>0.8889</v>
      </c>
      <c r="N375" s="42">
        <v>0.7778</v>
      </c>
      <c r="O375" s="42">
        <v>0.5556</v>
      </c>
      <c r="P375" s="42">
        <v>0.1111</v>
      </c>
      <c r="Q375" s="42">
        <v>0.9444</v>
      </c>
      <c r="R375" s="42">
        <v>1.0</v>
      </c>
      <c r="S375" s="42">
        <v>0.5</v>
      </c>
      <c r="T375" s="41">
        <v>0.8333</v>
      </c>
      <c r="U375" s="41">
        <v>0.7222</v>
      </c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ht="15.75" customHeight="1">
      <c r="A376" s="37" t="s">
        <v>642</v>
      </c>
      <c r="B376" s="37" t="s">
        <v>679</v>
      </c>
      <c r="C376" s="37">
        <v>55.0</v>
      </c>
      <c r="D376" s="37">
        <v>1.511062412E10</v>
      </c>
      <c r="E376" s="37">
        <v>2.41002031E8</v>
      </c>
      <c r="F376" s="37" t="s">
        <v>699</v>
      </c>
      <c r="G376" s="40" t="str">
        <f t="shared" si="23"/>
        <v>Pending</v>
      </c>
      <c r="H376" s="40">
        <f t="shared" si="24"/>
        <v>-9</v>
      </c>
      <c r="I376" s="40">
        <f t="shared" si="25"/>
        <v>213</v>
      </c>
      <c r="J376" s="40">
        <f t="shared" si="26"/>
        <v>27</v>
      </c>
      <c r="K376" s="40"/>
      <c r="L376" s="42">
        <v>0.9444</v>
      </c>
      <c r="M376" s="42">
        <v>1.0</v>
      </c>
      <c r="N376" s="42">
        <v>1.0</v>
      </c>
      <c r="O376" s="42">
        <v>1.0</v>
      </c>
      <c r="P376" s="42">
        <v>1.0</v>
      </c>
      <c r="Q376" s="42">
        <v>0.6111</v>
      </c>
      <c r="R376" s="42">
        <v>1.0</v>
      </c>
      <c r="S376" s="42">
        <v>0.4444</v>
      </c>
      <c r="T376" s="41">
        <v>0.0556</v>
      </c>
      <c r="U376" s="41">
        <v>0.0556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ht="15.75" customHeight="1">
      <c r="A377" s="37" t="s">
        <v>642</v>
      </c>
      <c r="B377" s="37" t="s">
        <v>679</v>
      </c>
      <c r="C377" s="37">
        <v>56.0</v>
      </c>
      <c r="D377" s="37">
        <v>1.5110624117E10</v>
      </c>
      <c r="E377" s="37">
        <v>2.41002035E8</v>
      </c>
      <c r="F377" s="37" t="s">
        <v>700</v>
      </c>
      <c r="G377" s="40" t="str">
        <f t="shared" si="23"/>
        <v>Pending</v>
      </c>
      <c r="H377" s="40">
        <f t="shared" si="24"/>
        <v>-41</v>
      </c>
      <c r="I377" s="40">
        <f t="shared" si="25"/>
        <v>117</v>
      </c>
      <c r="J377" s="40">
        <f t="shared" si="26"/>
        <v>123</v>
      </c>
      <c r="K377" s="40"/>
      <c r="L377" s="42">
        <v>0.3889</v>
      </c>
      <c r="M377" s="42">
        <v>0.7222</v>
      </c>
      <c r="N377" s="42">
        <v>0.6111</v>
      </c>
      <c r="O377" s="42">
        <v>0.1667</v>
      </c>
      <c r="P377" s="42">
        <v>1.0</v>
      </c>
      <c r="Q377" s="42">
        <v>0.4444</v>
      </c>
      <c r="R377" s="42">
        <v>0.3333</v>
      </c>
      <c r="S377" s="42">
        <v>0.0</v>
      </c>
      <c r="T377" s="41">
        <v>0.2222</v>
      </c>
      <c r="U377" s="41">
        <v>0.0</v>
      </c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ht="15.75" customHeight="1">
      <c r="A378" s="37" t="s">
        <v>642</v>
      </c>
      <c r="B378" s="37" t="s">
        <v>679</v>
      </c>
      <c r="C378" s="37">
        <v>57.0</v>
      </c>
      <c r="D378" s="37">
        <v>1.5110624121E10</v>
      </c>
      <c r="E378" s="37">
        <v>2.41002036E8</v>
      </c>
      <c r="F378" s="37" t="s">
        <v>701</v>
      </c>
      <c r="G378" s="40" t="str">
        <f t="shared" si="23"/>
        <v>OK</v>
      </c>
      <c r="H378" s="40">
        <f t="shared" si="24"/>
        <v>5</v>
      </c>
      <c r="I378" s="40">
        <f t="shared" si="25"/>
        <v>255</v>
      </c>
      <c r="J378" s="40">
        <f t="shared" si="26"/>
        <v>0</v>
      </c>
      <c r="K378" s="40"/>
      <c r="L378" s="42">
        <v>0.0</v>
      </c>
      <c r="M378" s="42">
        <v>1.0</v>
      </c>
      <c r="N378" s="42">
        <v>0.9444</v>
      </c>
      <c r="O378" s="42">
        <v>1.0</v>
      </c>
      <c r="P378" s="42">
        <v>0.8333</v>
      </c>
      <c r="Q378" s="42">
        <v>0.8889</v>
      </c>
      <c r="R378" s="42">
        <v>0.9444</v>
      </c>
      <c r="S378" s="42">
        <v>0.8889</v>
      </c>
      <c r="T378" s="41">
        <v>1.0</v>
      </c>
      <c r="U378" s="41">
        <v>1.0</v>
      </c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ht="15.75" customHeight="1">
      <c r="A379" s="37" t="s">
        <v>642</v>
      </c>
      <c r="B379" s="37" t="s">
        <v>679</v>
      </c>
      <c r="C379" s="37">
        <v>58.0</v>
      </c>
      <c r="D379" s="37">
        <v>1.5110624005E10</v>
      </c>
      <c r="E379" s="37">
        <v>2.41002045E8</v>
      </c>
      <c r="F379" s="37" t="s">
        <v>702</v>
      </c>
      <c r="G379" s="40" t="str">
        <f t="shared" si="23"/>
        <v>Pending</v>
      </c>
      <c r="H379" s="40">
        <f t="shared" si="24"/>
        <v>-17</v>
      </c>
      <c r="I379" s="40">
        <f t="shared" si="25"/>
        <v>188</v>
      </c>
      <c r="J379" s="40">
        <f t="shared" si="26"/>
        <v>52</v>
      </c>
      <c r="K379" s="40"/>
      <c r="L379" s="42">
        <v>0.2778</v>
      </c>
      <c r="M379" s="42">
        <v>0.6111</v>
      </c>
      <c r="N379" s="42">
        <v>0.5556</v>
      </c>
      <c r="O379" s="42">
        <v>0.6111</v>
      </c>
      <c r="P379" s="42">
        <v>0.6111</v>
      </c>
      <c r="Q379" s="42">
        <v>0.5556</v>
      </c>
      <c r="R379" s="42">
        <v>1.0</v>
      </c>
      <c r="S379" s="42">
        <v>0.6111</v>
      </c>
      <c r="T379" s="41">
        <v>0.9444</v>
      </c>
      <c r="U379" s="41">
        <v>0.5</v>
      </c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ht="15.75" customHeight="1">
      <c r="A380" s="37" t="s">
        <v>642</v>
      </c>
      <c r="B380" s="37" t="s">
        <v>679</v>
      </c>
      <c r="C380" s="37">
        <v>59.0</v>
      </c>
      <c r="D380" s="37">
        <v>1.5110624113E10</v>
      </c>
      <c r="E380" s="37">
        <v>2.41002053E8</v>
      </c>
      <c r="F380" s="37" t="s">
        <v>703</v>
      </c>
      <c r="G380" s="40" t="str">
        <f t="shared" si="23"/>
        <v>OK</v>
      </c>
      <c r="H380" s="40">
        <f t="shared" si="24"/>
        <v>4</v>
      </c>
      <c r="I380" s="40">
        <f t="shared" si="25"/>
        <v>252</v>
      </c>
      <c r="J380" s="40">
        <f t="shared" si="26"/>
        <v>0</v>
      </c>
      <c r="K380" s="40"/>
      <c r="L380" s="42">
        <v>1.0</v>
      </c>
      <c r="M380" s="42">
        <v>0.9444</v>
      </c>
      <c r="N380" s="42">
        <v>0.9444</v>
      </c>
      <c r="O380" s="42">
        <v>0.7222</v>
      </c>
      <c r="P380" s="42">
        <v>0.9444</v>
      </c>
      <c r="Q380" s="42">
        <v>0.7222</v>
      </c>
      <c r="R380" s="42">
        <v>0.9444</v>
      </c>
      <c r="S380" s="42">
        <v>0.7222</v>
      </c>
      <c r="T380" s="41">
        <v>0.7778</v>
      </c>
      <c r="U380" s="41">
        <v>0.6667</v>
      </c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ht="15.75" customHeight="1">
      <c r="A381" s="37" t="s">
        <v>642</v>
      </c>
      <c r="B381" s="37" t="s">
        <v>679</v>
      </c>
      <c r="C381" s="37">
        <v>60.0</v>
      </c>
      <c r="D381" s="37">
        <v>1.5110624073E10</v>
      </c>
      <c r="E381" s="37">
        <v>2.41002055E8</v>
      </c>
      <c r="F381" s="37" t="s">
        <v>704</v>
      </c>
      <c r="G381" s="40" t="str">
        <f t="shared" si="23"/>
        <v>OK</v>
      </c>
      <c r="H381" s="40">
        <f t="shared" si="24"/>
        <v>1</v>
      </c>
      <c r="I381" s="40">
        <f t="shared" si="25"/>
        <v>242</v>
      </c>
      <c r="J381" s="40">
        <f t="shared" si="26"/>
        <v>0</v>
      </c>
      <c r="K381" s="40"/>
      <c r="L381" s="42">
        <v>0.4444</v>
      </c>
      <c r="M381" s="42">
        <v>0.8333</v>
      </c>
      <c r="N381" s="42">
        <v>0.5556</v>
      </c>
      <c r="O381" s="42">
        <v>0.8889</v>
      </c>
      <c r="P381" s="42">
        <v>0.8333</v>
      </c>
      <c r="Q381" s="42">
        <v>0.7778</v>
      </c>
      <c r="R381" s="42">
        <v>0.8889</v>
      </c>
      <c r="S381" s="42">
        <v>0.8333</v>
      </c>
      <c r="T381" s="41">
        <v>1.0</v>
      </c>
      <c r="U381" s="41">
        <v>1.0</v>
      </c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ht="15.75" customHeight="1">
      <c r="A382" s="37" t="s">
        <v>642</v>
      </c>
      <c r="B382" s="37" t="s">
        <v>679</v>
      </c>
      <c r="C382" s="37">
        <v>61.0</v>
      </c>
      <c r="D382" s="37">
        <v>1.5110624006E10</v>
      </c>
      <c r="E382" s="37">
        <v>2.41002056E8</v>
      </c>
      <c r="F382" s="37" t="s">
        <v>705</v>
      </c>
      <c r="G382" s="40" t="str">
        <f t="shared" si="23"/>
        <v>Pending</v>
      </c>
      <c r="H382" s="40">
        <f t="shared" si="24"/>
        <v>-23</v>
      </c>
      <c r="I382" s="40">
        <f t="shared" si="25"/>
        <v>170</v>
      </c>
      <c r="J382" s="40">
        <f t="shared" si="26"/>
        <v>70</v>
      </c>
      <c r="K382" s="40"/>
      <c r="L382" s="42">
        <v>1.0</v>
      </c>
      <c r="M382" s="42">
        <v>0.9444</v>
      </c>
      <c r="N382" s="42">
        <v>0.3889</v>
      </c>
      <c r="O382" s="42">
        <v>0.7222</v>
      </c>
      <c r="P382" s="42">
        <v>0.8889</v>
      </c>
      <c r="Q382" s="42">
        <v>0.7778</v>
      </c>
      <c r="R382" s="42">
        <v>0.3889</v>
      </c>
      <c r="S382" s="42">
        <v>0.0</v>
      </c>
      <c r="T382" s="41">
        <v>0.0</v>
      </c>
      <c r="U382" s="41">
        <v>0.5556</v>
      </c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ht="15.75" customHeight="1">
      <c r="A383" s="37" t="s">
        <v>642</v>
      </c>
      <c r="B383" s="37" t="s">
        <v>679</v>
      </c>
      <c r="C383" s="37">
        <v>62.0</v>
      </c>
      <c r="D383" s="37">
        <v>1.5110624192E10</v>
      </c>
      <c r="E383" s="37">
        <v>2.43002002E8</v>
      </c>
      <c r="F383" s="37" t="s">
        <v>706</v>
      </c>
      <c r="G383" s="40" t="str">
        <f t="shared" si="23"/>
        <v>Pending</v>
      </c>
      <c r="H383" s="40">
        <f t="shared" si="24"/>
        <v>-9</v>
      </c>
      <c r="I383" s="40">
        <f t="shared" si="25"/>
        <v>212</v>
      </c>
      <c r="J383" s="40">
        <f t="shared" si="26"/>
        <v>28</v>
      </c>
      <c r="K383" s="40"/>
      <c r="L383" s="42">
        <v>0.0</v>
      </c>
      <c r="M383" s="42">
        <v>0.8333</v>
      </c>
      <c r="N383" s="42">
        <v>0.1667</v>
      </c>
      <c r="O383" s="42">
        <v>0.8889</v>
      </c>
      <c r="P383" s="42">
        <v>0.9444</v>
      </c>
      <c r="Q383" s="42">
        <v>0.9444</v>
      </c>
      <c r="R383" s="42">
        <v>0.9444</v>
      </c>
      <c r="S383" s="42">
        <v>0.8333</v>
      </c>
      <c r="T383" s="41">
        <v>0.8889</v>
      </c>
      <c r="U383" s="41">
        <v>0.6111</v>
      </c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ht="15.75" customHeight="1">
      <c r="A384" s="29" t="s">
        <v>6</v>
      </c>
      <c r="B384" s="29" t="s">
        <v>7</v>
      </c>
      <c r="C384" s="29" t="s">
        <v>8</v>
      </c>
      <c r="D384" s="29" t="s">
        <v>9</v>
      </c>
      <c r="E384" s="29" t="s">
        <v>10</v>
      </c>
      <c r="F384" s="29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6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ht="15.75" customHeight="1">
      <c r="A385" s="37" t="s">
        <v>707</v>
      </c>
      <c r="B385" s="37" t="s">
        <v>708</v>
      </c>
      <c r="C385" s="37">
        <v>1.0</v>
      </c>
      <c r="D385" s="37">
        <v>1.5110623027E10</v>
      </c>
      <c r="E385" s="37">
        <v>2.30002002E8</v>
      </c>
      <c r="F385" s="37" t="s">
        <v>709</v>
      </c>
      <c r="G385" s="40" t="str">
        <f t="shared" ref="G385:G458" si="27">IF(H385&gt;=0,"OK",IF(K385&gt;=J385,"Completed","Pending"))</f>
        <v>Pending</v>
      </c>
      <c r="H385" s="40">
        <f t="shared" ref="H385:H458" si="28">round((((((L385*100)*$L$5)+((M385*100)*$M$5)+((N385*100)*$N$5)+((O385*100)*$O$5)+((P385*100)*$P$5)+((Q385*100)*$Q$5)+((R385*100)*$R$5)+((S385*100)*$S$5)+((T385*100)*$T$5)+((U385*100)*$U$5)+((V385*100)*$V$5)+((W385*100)*$W$5)+((X385*100)*$X$5)+((Y385*100)*$Y$5)+((Z385*100)*$Z$5)++((W385*100)*$W$5)+((AA385*100)*$AA$5))/($L$5+$M$5+$N$5+$O$5+$P$5+$Q$5+$R$5+$S$5+$T$5+$V$5+$U$5+$W$5+$X$5+$Y$5+$Z$5+$AA$5))-80),0)</f>
        <v>-27</v>
      </c>
      <c r="I385" s="40">
        <f t="shared" ref="I385:I458" si="29">round(30*((L385*$L$5)+(M385*$M$5)+(N385*$N$5)+(O385*$O$5)+(P385*$P$5)+(Q385*$Q$5)+(R385*$R$5)+(S385*$S$5)+(T385*$T$5)+(U385*$U$5)+(V385*$V$5)+(W385*$W$5)+(X385*$X$5)+(Y385*$Y$5)+(Z385*$Z$5)+(AA385*$AA$5)),0)</f>
        <v>160</v>
      </c>
      <c r="J385" s="40">
        <f t="shared" ref="J385:J458" si="30">if(I385&lt;(24*($L$5+$M$5+$N$5+$O$5+$P$5+$Q$5+$R$5+$S$5+$T$5+$V$5+$U$5+$W$5+$X$5+$Y$5+$Z$5+$AA$5)),abs(I385-(24*($L$5+$M$5+$N$5+$O$5+$P$5+$Q$5+$R$5+$S$5+$T$5+$V$5+$U$5+$W$5+$X$5+$Y$5+$Z$5+$AA$5))),0)</f>
        <v>80</v>
      </c>
      <c r="K385" s="40"/>
      <c r="L385" s="42">
        <v>0.2222</v>
      </c>
      <c r="M385" s="42">
        <v>0.5556</v>
      </c>
      <c r="N385" s="42">
        <v>0.0</v>
      </c>
      <c r="O385" s="42">
        <v>0.5556</v>
      </c>
      <c r="P385" s="42">
        <v>1.0</v>
      </c>
      <c r="Q385" s="42">
        <v>0.7778</v>
      </c>
      <c r="R385" s="42">
        <v>0.0</v>
      </c>
      <c r="S385" s="42">
        <v>0.2778</v>
      </c>
      <c r="T385" s="41">
        <v>1.0</v>
      </c>
      <c r="U385" s="41">
        <v>0.9444</v>
      </c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ht="15.75" customHeight="1">
      <c r="A386" s="37" t="s">
        <v>707</v>
      </c>
      <c r="B386" s="37" t="s">
        <v>708</v>
      </c>
      <c r="C386" s="37">
        <v>2.0</v>
      </c>
      <c r="D386" s="37">
        <v>1.5110623098E10</v>
      </c>
      <c r="E386" s="37">
        <v>2.30002004E8</v>
      </c>
      <c r="F386" s="37" t="s">
        <v>710</v>
      </c>
      <c r="G386" s="40" t="str">
        <f t="shared" si="27"/>
        <v>Pending</v>
      </c>
      <c r="H386" s="40">
        <f t="shared" si="28"/>
        <v>-36</v>
      </c>
      <c r="I386" s="40">
        <f t="shared" si="29"/>
        <v>133</v>
      </c>
      <c r="J386" s="40">
        <f t="shared" si="30"/>
        <v>107</v>
      </c>
      <c r="K386" s="40"/>
      <c r="L386" s="42">
        <v>0.0</v>
      </c>
      <c r="M386" s="42">
        <v>0.0556</v>
      </c>
      <c r="N386" s="42">
        <v>0.0</v>
      </c>
      <c r="O386" s="42">
        <v>0.0556</v>
      </c>
      <c r="P386" s="42">
        <v>0.8889</v>
      </c>
      <c r="Q386" s="42">
        <v>0.7778</v>
      </c>
      <c r="R386" s="42">
        <v>0.8333</v>
      </c>
      <c r="S386" s="42">
        <v>0.8333</v>
      </c>
      <c r="T386" s="41">
        <v>0.8333</v>
      </c>
      <c r="U386" s="41">
        <v>0.1667</v>
      </c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ht="15.75" customHeight="1">
      <c r="A387" s="37" t="s">
        <v>707</v>
      </c>
      <c r="B387" s="37" t="s">
        <v>708</v>
      </c>
      <c r="C387" s="37">
        <v>3.0</v>
      </c>
      <c r="D387" s="37">
        <v>1.5110623076E10</v>
      </c>
      <c r="E387" s="37">
        <v>2.30002012E8</v>
      </c>
      <c r="F387" s="37" t="s">
        <v>711</v>
      </c>
      <c r="G387" s="40" t="str">
        <f t="shared" si="27"/>
        <v>OK</v>
      </c>
      <c r="H387" s="40">
        <f t="shared" si="28"/>
        <v>15</v>
      </c>
      <c r="I387" s="40">
        <f t="shared" si="29"/>
        <v>285</v>
      </c>
      <c r="J387" s="40">
        <f t="shared" si="30"/>
        <v>0</v>
      </c>
      <c r="K387" s="40"/>
      <c r="L387" s="42">
        <v>0.7778</v>
      </c>
      <c r="M387" s="42">
        <v>0.9444</v>
      </c>
      <c r="N387" s="42">
        <v>1.0</v>
      </c>
      <c r="O387" s="42">
        <v>1.0</v>
      </c>
      <c r="P387" s="42">
        <v>1.0</v>
      </c>
      <c r="Q387" s="42">
        <v>0.7778</v>
      </c>
      <c r="R387" s="42">
        <v>1.0</v>
      </c>
      <c r="S387" s="42">
        <v>1.0</v>
      </c>
      <c r="T387" s="41">
        <v>1.0</v>
      </c>
      <c r="U387" s="41">
        <v>1.0</v>
      </c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ht="15.75" customHeight="1">
      <c r="A388" s="37" t="s">
        <v>707</v>
      </c>
      <c r="B388" s="37" t="s">
        <v>708</v>
      </c>
      <c r="C388" s="37">
        <v>4.0</v>
      </c>
      <c r="D388" s="37">
        <v>1.5110623004E10</v>
      </c>
      <c r="E388" s="37">
        <v>2.30002015E8</v>
      </c>
      <c r="F388" s="37" t="s">
        <v>712</v>
      </c>
      <c r="G388" s="40" t="str">
        <f t="shared" si="27"/>
        <v>OK</v>
      </c>
      <c r="H388" s="40">
        <f t="shared" si="28"/>
        <v>17</v>
      </c>
      <c r="I388" s="40">
        <f t="shared" si="29"/>
        <v>290</v>
      </c>
      <c r="J388" s="40">
        <f t="shared" si="30"/>
        <v>0</v>
      </c>
      <c r="K388" s="40"/>
      <c r="L388" s="42">
        <v>1.0</v>
      </c>
      <c r="M388" s="42">
        <v>1.0</v>
      </c>
      <c r="N388" s="42">
        <v>1.0</v>
      </c>
      <c r="O388" s="42">
        <v>1.0</v>
      </c>
      <c r="P388" s="42">
        <v>1.0</v>
      </c>
      <c r="Q388" s="42">
        <v>0.9444</v>
      </c>
      <c r="R388" s="42">
        <v>1.0</v>
      </c>
      <c r="S388" s="42">
        <v>0.8889</v>
      </c>
      <c r="T388" s="41">
        <v>0.8333</v>
      </c>
      <c r="U388" s="41">
        <v>1.0</v>
      </c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ht="15.75" customHeight="1">
      <c r="A389" s="37" t="s">
        <v>707</v>
      </c>
      <c r="B389" s="37" t="s">
        <v>708</v>
      </c>
      <c r="C389" s="37">
        <v>5.0</v>
      </c>
      <c r="D389" s="37">
        <v>1.5110623012E10</v>
      </c>
      <c r="E389" s="37">
        <v>2.30002017E8</v>
      </c>
      <c r="F389" s="37" t="s">
        <v>713</v>
      </c>
      <c r="G389" s="40" t="str">
        <f t="shared" si="27"/>
        <v>OK</v>
      </c>
      <c r="H389" s="40">
        <f t="shared" si="28"/>
        <v>17</v>
      </c>
      <c r="I389" s="40">
        <f t="shared" si="29"/>
        <v>290</v>
      </c>
      <c r="J389" s="40">
        <f t="shared" si="30"/>
        <v>0</v>
      </c>
      <c r="K389" s="40"/>
      <c r="L389" s="42">
        <v>0.9444</v>
      </c>
      <c r="M389" s="42">
        <v>1.0</v>
      </c>
      <c r="N389" s="42">
        <v>1.0</v>
      </c>
      <c r="O389" s="42">
        <v>1.0</v>
      </c>
      <c r="P389" s="42">
        <v>1.0</v>
      </c>
      <c r="Q389" s="42">
        <v>0.9444</v>
      </c>
      <c r="R389" s="42">
        <v>0.9444</v>
      </c>
      <c r="S389" s="42">
        <v>0.9444</v>
      </c>
      <c r="T389" s="41">
        <v>0.8889</v>
      </c>
      <c r="U389" s="41">
        <v>1.0</v>
      </c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ht="15.75" customHeight="1">
      <c r="A390" s="37" t="s">
        <v>707</v>
      </c>
      <c r="B390" s="37" t="s">
        <v>708</v>
      </c>
      <c r="C390" s="37">
        <v>6.0</v>
      </c>
      <c r="D390" s="37">
        <v>1.511062301E10</v>
      </c>
      <c r="E390" s="37">
        <v>2.30002026E8</v>
      </c>
      <c r="F390" s="37" t="s">
        <v>714</v>
      </c>
      <c r="G390" s="40" t="str">
        <f t="shared" si="27"/>
        <v>Pending</v>
      </c>
      <c r="H390" s="40">
        <f t="shared" si="28"/>
        <v>-16</v>
      </c>
      <c r="I390" s="40">
        <f t="shared" si="29"/>
        <v>192</v>
      </c>
      <c r="J390" s="40">
        <f t="shared" si="30"/>
        <v>48</v>
      </c>
      <c r="K390" s="40"/>
      <c r="L390" s="42">
        <v>0.4444</v>
      </c>
      <c r="M390" s="42">
        <v>0.3889</v>
      </c>
      <c r="N390" s="42">
        <v>1.0</v>
      </c>
      <c r="O390" s="42">
        <v>0.6111</v>
      </c>
      <c r="P390" s="42">
        <v>0.5</v>
      </c>
      <c r="Q390" s="42">
        <v>0.7778</v>
      </c>
      <c r="R390" s="42">
        <v>0.8889</v>
      </c>
      <c r="S390" s="42">
        <v>0.7222</v>
      </c>
      <c r="T390" s="41">
        <v>0.6667</v>
      </c>
      <c r="U390" s="41">
        <v>0.3889</v>
      </c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ht="15.75" customHeight="1">
      <c r="A391" s="37" t="s">
        <v>707</v>
      </c>
      <c r="B391" s="37" t="s">
        <v>708</v>
      </c>
      <c r="C391" s="37">
        <v>7.0</v>
      </c>
      <c r="D391" s="37">
        <v>1.5110623037E10</v>
      </c>
      <c r="E391" s="37">
        <v>2.30002039E8</v>
      </c>
      <c r="F391" s="37" t="s">
        <v>715</v>
      </c>
      <c r="G391" s="40" t="str">
        <f t="shared" si="27"/>
        <v>OK</v>
      </c>
      <c r="H391" s="40">
        <f t="shared" si="28"/>
        <v>17</v>
      </c>
      <c r="I391" s="40">
        <f t="shared" si="29"/>
        <v>290</v>
      </c>
      <c r="J391" s="40">
        <f t="shared" si="30"/>
        <v>0</v>
      </c>
      <c r="K391" s="40"/>
      <c r="L391" s="42">
        <v>0.7778</v>
      </c>
      <c r="M391" s="42">
        <v>1.0</v>
      </c>
      <c r="N391" s="42">
        <v>1.0</v>
      </c>
      <c r="O391" s="42">
        <v>1.0</v>
      </c>
      <c r="P391" s="42">
        <v>1.0</v>
      </c>
      <c r="Q391" s="42">
        <v>1.0</v>
      </c>
      <c r="R391" s="42">
        <v>0.8889</v>
      </c>
      <c r="S391" s="42">
        <v>1.0</v>
      </c>
      <c r="T391" s="41">
        <v>1.0</v>
      </c>
      <c r="U391" s="41">
        <v>1.0</v>
      </c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ht="15.75" customHeight="1">
      <c r="A392" s="37" t="s">
        <v>707</v>
      </c>
      <c r="B392" s="37" t="s">
        <v>708</v>
      </c>
      <c r="C392" s="37">
        <v>8.0</v>
      </c>
      <c r="D392" s="37">
        <v>1.5110623099E10</v>
      </c>
      <c r="E392" s="37">
        <v>2.30002045E8</v>
      </c>
      <c r="F392" s="37" t="s">
        <v>716</v>
      </c>
      <c r="G392" s="40" t="str">
        <f t="shared" si="27"/>
        <v>OK</v>
      </c>
      <c r="H392" s="40">
        <f t="shared" si="28"/>
        <v>4</v>
      </c>
      <c r="I392" s="40">
        <f t="shared" si="29"/>
        <v>252</v>
      </c>
      <c r="J392" s="40">
        <f t="shared" si="30"/>
        <v>0</v>
      </c>
      <c r="K392" s="40"/>
      <c r="L392" s="42">
        <v>0.7778</v>
      </c>
      <c r="M392" s="42">
        <v>0.8333</v>
      </c>
      <c r="N392" s="42">
        <v>0.6667</v>
      </c>
      <c r="O392" s="42">
        <v>0.8333</v>
      </c>
      <c r="P392" s="42">
        <v>0.8333</v>
      </c>
      <c r="Q392" s="42">
        <v>0.8889</v>
      </c>
      <c r="R392" s="42">
        <v>1.0</v>
      </c>
      <c r="S392" s="42">
        <v>0.7778</v>
      </c>
      <c r="T392" s="41">
        <v>1.0</v>
      </c>
      <c r="U392" s="41">
        <v>0.7778</v>
      </c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ht="15.75" customHeight="1">
      <c r="A393" s="37" t="s">
        <v>707</v>
      </c>
      <c r="B393" s="37" t="s">
        <v>708</v>
      </c>
      <c r="C393" s="37">
        <v>9.0</v>
      </c>
      <c r="D393" s="37">
        <v>1.5110623028E10</v>
      </c>
      <c r="E393" s="37">
        <v>2.3000205E8</v>
      </c>
      <c r="F393" s="37" t="s">
        <v>717</v>
      </c>
      <c r="G393" s="40" t="str">
        <f t="shared" si="27"/>
        <v>OK</v>
      </c>
      <c r="H393" s="40">
        <f t="shared" si="28"/>
        <v>5</v>
      </c>
      <c r="I393" s="40">
        <f t="shared" si="29"/>
        <v>255</v>
      </c>
      <c r="J393" s="40">
        <f t="shared" si="30"/>
        <v>0</v>
      </c>
      <c r="K393" s="40"/>
      <c r="L393" s="42">
        <v>0.7778</v>
      </c>
      <c r="M393" s="42">
        <v>0.8333</v>
      </c>
      <c r="N393" s="42">
        <v>0.7222</v>
      </c>
      <c r="O393" s="42">
        <v>0.8889</v>
      </c>
      <c r="P393" s="42">
        <v>0.8333</v>
      </c>
      <c r="Q393" s="42">
        <v>0.8889</v>
      </c>
      <c r="R393" s="42">
        <v>1.0</v>
      </c>
      <c r="S393" s="42">
        <v>0.7778</v>
      </c>
      <c r="T393" s="41">
        <v>1.0</v>
      </c>
      <c r="U393" s="41">
        <v>0.7778</v>
      </c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ht="15.75" customHeight="1">
      <c r="A394" s="37" t="s">
        <v>707</v>
      </c>
      <c r="B394" s="37" t="s">
        <v>708</v>
      </c>
      <c r="C394" s="37">
        <v>10.0</v>
      </c>
      <c r="D394" s="37">
        <v>1.5110623103E10</v>
      </c>
      <c r="E394" s="37">
        <v>2.30002051E8</v>
      </c>
      <c r="F394" s="37" t="s">
        <v>718</v>
      </c>
      <c r="G394" s="40" t="str">
        <f t="shared" si="27"/>
        <v>OK</v>
      </c>
      <c r="H394" s="40">
        <f t="shared" si="28"/>
        <v>12</v>
      </c>
      <c r="I394" s="40">
        <f t="shared" si="29"/>
        <v>275</v>
      </c>
      <c r="J394" s="40">
        <f t="shared" si="30"/>
        <v>0</v>
      </c>
      <c r="K394" s="40"/>
      <c r="L394" s="42">
        <v>1.0</v>
      </c>
      <c r="M394" s="42">
        <v>1.0</v>
      </c>
      <c r="N394" s="42">
        <v>1.0</v>
      </c>
      <c r="O394" s="42">
        <v>1.0</v>
      </c>
      <c r="P394" s="42">
        <v>0.9444</v>
      </c>
      <c r="Q394" s="42">
        <v>0.8333</v>
      </c>
      <c r="R394" s="42">
        <v>0.8333</v>
      </c>
      <c r="S394" s="42">
        <v>0.6667</v>
      </c>
      <c r="T394" s="41">
        <v>0.9444</v>
      </c>
      <c r="U394" s="41">
        <v>0.9444</v>
      </c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ht="15.75" customHeight="1">
      <c r="A395" s="37" t="s">
        <v>707</v>
      </c>
      <c r="B395" s="37" t="s">
        <v>708</v>
      </c>
      <c r="C395" s="37">
        <v>11.0</v>
      </c>
      <c r="D395" s="37">
        <v>1.5110623066E10</v>
      </c>
      <c r="E395" s="37">
        <v>2.30002054E8</v>
      </c>
      <c r="F395" s="37" t="s">
        <v>719</v>
      </c>
      <c r="G395" s="40" t="str">
        <f t="shared" si="27"/>
        <v>OK</v>
      </c>
      <c r="H395" s="40">
        <f t="shared" si="28"/>
        <v>16</v>
      </c>
      <c r="I395" s="40">
        <f t="shared" si="29"/>
        <v>288</v>
      </c>
      <c r="J395" s="40">
        <f t="shared" si="30"/>
        <v>0</v>
      </c>
      <c r="K395" s="40"/>
      <c r="L395" s="42">
        <v>0.7778</v>
      </c>
      <c r="M395" s="42">
        <v>1.0</v>
      </c>
      <c r="N395" s="42">
        <v>1.0</v>
      </c>
      <c r="O395" s="42">
        <v>1.0</v>
      </c>
      <c r="P395" s="42">
        <v>1.0</v>
      </c>
      <c r="Q395" s="42">
        <v>1.0</v>
      </c>
      <c r="R395" s="42">
        <v>0.8333</v>
      </c>
      <c r="S395" s="42">
        <v>1.0</v>
      </c>
      <c r="T395" s="41">
        <v>1.0</v>
      </c>
      <c r="U395" s="41">
        <v>1.0</v>
      </c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ht="15.75" customHeight="1">
      <c r="A396" s="37" t="s">
        <v>707</v>
      </c>
      <c r="B396" s="37" t="s">
        <v>708</v>
      </c>
      <c r="C396" s="37">
        <v>12.0</v>
      </c>
      <c r="D396" s="37">
        <v>1.5110623002E10</v>
      </c>
      <c r="E396" s="37">
        <v>2.30002058E8</v>
      </c>
      <c r="F396" s="37" t="s">
        <v>720</v>
      </c>
      <c r="G396" s="40" t="str">
        <f t="shared" si="27"/>
        <v>OK</v>
      </c>
      <c r="H396" s="40">
        <f t="shared" si="28"/>
        <v>16</v>
      </c>
      <c r="I396" s="40">
        <f t="shared" si="29"/>
        <v>287</v>
      </c>
      <c r="J396" s="40">
        <f t="shared" si="30"/>
        <v>0</v>
      </c>
      <c r="K396" s="40"/>
      <c r="L396" s="42">
        <v>0.5556</v>
      </c>
      <c r="M396" s="42">
        <v>1.0</v>
      </c>
      <c r="N396" s="42">
        <v>1.0</v>
      </c>
      <c r="O396" s="42">
        <v>1.0</v>
      </c>
      <c r="P396" s="42">
        <v>1.0</v>
      </c>
      <c r="Q396" s="42">
        <v>1.0</v>
      </c>
      <c r="R396" s="42">
        <v>1.0</v>
      </c>
      <c r="S396" s="42">
        <v>1.0</v>
      </c>
      <c r="T396" s="41">
        <v>1.0</v>
      </c>
      <c r="U396" s="41">
        <v>1.0</v>
      </c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ht="15.75" customHeight="1">
      <c r="A397" s="37" t="s">
        <v>707</v>
      </c>
      <c r="B397" s="37" t="s">
        <v>708</v>
      </c>
      <c r="C397" s="37">
        <v>13.0</v>
      </c>
      <c r="D397" s="37">
        <v>1.5110623001E10</v>
      </c>
      <c r="E397" s="37">
        <v>2.30002059E8</v>
      </c>
      <c r="F397" s="37" t="s">
        <v>721</v>
      </c>
      <c r="G397" s="40" t="str">
        <f t="shared" si="27"/>
        <v>OK</v>
      </c>
      <c r="H397" s="40">
        <f t="shared" si="28"/>
        <v>16</v>
      </c>
      <c r="I397" s="40">
        <f t="shared" si="29"/>
        <v>287</v>
      </c>
      <c r="J397" s="40">
        <f t="shared" si="30"/>
        <v>0</v>
      </c>
      <c r="K397" s="40"/>
      <c r="L397" s="42">
        <v>0.5556</v>
      </c>
      <c r="M397" s="42">
        <v>1.0</v>
      </c>
      <c r="N397" s="42">
        <v>1.0</v>
      </c>
      <c r="O397" s="42">
        <v>1.0</v>
      </c>
      <c r="P397" s="42">
        <v>1.0</v>
      </c>
      <c r="Q397" s="42">
        <v>1.0</v>
      </c>
      <c r="R397" s="42">
        <v>1.0</v>
      </c>
      <c r="S397" s="42">
        <v>1.0</v>
      </c>
      <c r="T397" s="41">
        <v>1.0</v>
      </c>
      <c r="U397" s="41">
        <v>1.0</v>
      </c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ht="15.75" customHeight="1">
      <c r="A398" s="37" t="s">
        <v>707</v>
      </c>
      <c r="B398" s="37" t="s">
        <v>708</v>
      </c>
      <c r="C398" s="37">
        <v>14.0</v>
      </c>
      <c r="D398" s="37">
        <v>1.5110623081E10</v>
      </c>
      <c r="E398" s="37">
        <v>2.30002062E8</v>
      </c>
      <c r="F398" s="37" t="s">
        <v>722</v>
      </c>
      <c r="G398" s="40" t="str">
        <f t="shared" si="27"/>
        <v>Pending</v>
      </c>
      <c r="H398" s="40">
        <f t="shared" si="28"/>
        <v>-39</v>
      </c>
      <c r="I398" s="40">
        <f t="shared" si="29"/>
        <v>123</v>
      </c>
      <c r="J398" s="40">
        <f t="shared" si="30"/>
        <v>117</v>
      </c>
      <c r="K398" s="40"/>
      <c r="L398" s="42">
        <v>0.0</v>
      </c>
      <c r="M398" s="42">
        <v>0.2778</v>
      </c>
      <c r="N398" s="42">
        <v>0.0</v>
      </c>
      <c r="O398" s="42">
        <v>0.1667</v>
      </c>
      <c r="P398" s="42">
        <v>0.0556</v>
      </c>
      <c r="Q398" s="42">
        <v>0.0556</v>
      </c>
      <c r="R398" s="42">
        <v>0.8333</v>
      </c>
      <c r="S398" s="42">
        <v>0.9444</v>
      </c>
      <c r="T398" s="41">
        <v>0.7778</v>
      </c>
      <c r="U398" s="41">
        <v>1.0</v>
      </c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ht="15.75" customHeight="1">
      <c r="A399" s="37" t="s">
        <v>707</v>
      </c>
      <c r="B399" s="37" t="s">
        <v>708</v>
      </c>
      <c r="C399" s="37">
        <v>15.0</v>
      </c>
      <c r="D399" s="37">
        <v>1.5110623035E10</v>
      </c>
      <c r="E399" s="37">
        <v>2.30002063E8</v>
      </c>
      <c r="F399" s="37" t="s">
        <v>723</v>
      </c>
      <c r="G399" s="40" t="str">
        <f t="shared" si="27"/>
        <v>OK</v>
      </c>
      <c r="H399" s="40">
        <f t="shared" si="28"/>
        <v>17</v>
      </c>
      <c r="I399" s="40">
        <f t="shared" si="29"/>
        <v>290</v>
      </c>
      <c r="J399" s="40">
        <f t="shared" si="30"/>
        <v>0</v>
      </c>
      <c r="K399" s="40"/>
      <c r="L399" s="42">
        <v>1.0</v>
      </c>
      <c r="M399" s="42">
        <v>0.9444</v>
      </c>
      <c r="N399" s="42">
        <v>1.0</v>
      </c>
      <c r="O399" s="42">
        <v>0.8889</v>
      </c>
      <c r="P399" s="42">
        <v>0.9444</v>
      </c>
      <c r="Q399" s="42">
        <v>0.8889</v>
      </c>
      <c r="R399" s="42">
        <v>1.0</v>
      </c>
      <c r="S399" s="42">
        <v>1.0</v>
      </c>
      <c r="T399" s="41">
        <v>1.0</v>
      </c>
      <c r="U399" s="41">
        <v>1.0</v>
      </c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ht="15.75" customHeight="1">
      <c r="A400" s="37" t="s">
        <v>707</v>
      </c>
      <c r="B400" s="37" t="s">
        <v>708</v>
      </c>
      <c r="C400" s="37">
        <v>16.0</v>
      </c>
      <c r="D400" s="37">
        <v>1.5110623034E10</v>
      </c>
      <c r="E400" s="37">
        <v>2.30002064E8</v>
      </c>
      <c r="F400" s="37" t="s">
        <v>724</v>
      </c>
      <c r="G400" s="40" t="str">
        <f t="shared" si="27"/>
        <v>OK</v>
      </c>
      <c r="H400" s="40">
        <f t="shared" si="28"/>
        <v>5</v>
      </c>
      <c r="I400" s="40">
        <f t="shared" si="29"/>
        <v>255</v>
      </c>
      <c r="J400" s="40">
        <f t="shared" si="30"/>
        <v>0</v>
      </c>
      <c r="K400" s="40"/>
      <c r="L400" s="42">
        <v>0.7778</v>
      </c>
      <c r="M400" s="42">
        <v>0.8333</v>
      </c>
      <c r="N400" s="42">
        <v>0.7222</v>
      </c>
      <c r="O400" s="42">
        <v>0.8889</v>
      </c>
      <c r="P400" s="42">
        <v>0.8333</v>
      </c>
      <c r="Q400" s="42">
        <v>0.8333</v>
      </c>
      <c r="R400" s="42">
        <v>1.0</v>
      </c>
      <c r="S400" s="42">
        <v>0.7778</v>
      </c>
      <c r="T400" s="41">
        <v>1.0</v>
      </c>
      <c r="U400" s="41">
        <v>0.8333</v>
      </c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ht="15.75" customHeight="1">
      <c r="A401" s="37" t="s">
        <v>707</v>
      </c>
      <c r="B401" s="37" t="s">
        <v>708</v>
      </c>
      <c r="C401" s="37">
        <v>17.0</v>
      </c>
      <c r="D401" s="37">
        <v>1.5110623074E10</v>
      </c>
      <c r="E401" s="37">
        <v>2.30002065E8</v>
      </c>
      <c r="F401" s="37" t="s">
        <v>725</v>
      </c>
      <c r="G401" s="40" t="str">
        <f t="shared" si="27"/>
        <v>OK</v>
      </c>
      <c r="H401" s="40">
        <f t="shared" si="28"/>
        <v>5</v>
      </c>
      <c r="I401" s="40">
        <f t="shared" si="29"/>
        <v>255</v>
      </c>
      <c r="J401" s="40">
        <f t="shared" si="30"/>
        <v>0</v>
      </c>
      <c r="K401" s="40"/>
      <c r="L401" s="42">
        <v>0.7778</v>
      </c>
      <c r="M401" s="42">
        <v>0.8333</v>
      </c>
      <c r="N401" s="42">
        <v>0.7778</v>
      </c>
      <c r="O401" s="42">
        <v>0.8889</v>
      </c>
      <c r="P401" s="42">
        <v>0.8333</v>
      </c>
      <c r="Q401" s="42">
        <v>0.8889</v>
      </c>
      <c r="R401" s="42">
        <v>1.0</v>
      </c>
      <c r="S401" s="42">
        <v>0.8333</v>
      </c>
      <c r="T401" s="41">
        <v>1.0</v>
      </c>
      <c r="U401" s="41">
        <v>0.6667</v>
      </c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ht="15.75" customHeight="1">
      <c r="A402" s="37" t="s">
        <v>707</v>
      </c>
      <c r="B402" s="37" t="s">
        <v>708</v>
      </c>
      <c r="C402" s="37">
        <v>18.0</v>
      </c>
      <c r="D402" s="37">
        <v>1.5110623022E10</v>
      </c>
      <c r="E402" s="37">
        <v>2.30002069E8</v>
      </c>
      <c r="F402" s="37" t="s">
        <v>726</v>
      </c>
      <c r="G402" s="40" t="str">
        <f t="shared" si="27"/>
        <v>OK</v>
      </c>
      <c r="H402" s="40">
        <f t="shared" si="28"/>
        <v>14</v>
      </c>
      <c r="I402" s="40">
        <f t="shared" si="29"/>
        <v>282</v>
      </c>
      <c r="J402" s="40">
        <f t="shared" si="30"/>
        <v>0</v>
      </c>
      <c r="K402" s="40"/>
      <c r="L402" s="42">
        <v>1.0</v>
      </c>
      <c r="M402" s="42">
        <v>1.0</v>
      </c>
      <c r="N402" s="42">
        <v>0.6667</v>
      </c>
      <c r="O402" s="42">
        <v>0.9444</v>
      </c>
      <c r="P402" s="42">
        <v>1.0</v>
      </c>
      <c r="Q402" s="42">
        <v>1.0</v>
      </c>
      <c r="R402" s="42">
        <v>1.0</v>
      </c>
      <c r="S402" s="42">
        <v>0.8889</v>
      </c>
      <c r="T402" s="41">
        <v>0.8889</v>
      </c>
      <c r="U402" s="41">
        <v>1.0</v>
      </c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ht="15.75" customHeight="1">
      <c r="A403" s="37" t="s">
        <v>707</v>
      </c>
      <c r="B403" s="37" t="s">
        <v>708</v>
      </c>
      <c r="C403" s="37">
        <v>19.0</v>
      </c>
      <c r="D403" s="37">
        <v>1.5110623032E10</v>
      </c>
      <c r="E403" s="37">
        <v>2.3000207E8</v>
      </c>
      <c r="F403" s="37" t="s">
        <v>727</v>
      </c>
      <c r="G403" s="40" t="str">
        <f t="shared" si="27"/>
        <v>Pending</v>
      </c>
      <c r="H403" s="40">
        <f t="shared" si="28"/>
        <v>-51</v>
      </c>
      <c r="I403" s="40">
        <f t="shared" si="29"/>
        <v>87</v>
      </c>
      <c r="J403" s="40">
        <f t="shared" si="30"/>
        <v>153</v>
      </c>
      <c r="K403" s="40"/>
      <c r="L403" s="42">
        <v>0.0</v>
      </c>
      <c r="M403" s="42">
        <v>0.6667</v>
      </c>
      <c r="N403" s="42">
        <v>0.0</v>
      </c>
      <c r="O403" s="42">
        <v>0.2778</v>
      </c>
      <c r="P403" s="42">
        <v>0.4444</v>
      </c>
      <c r="Q403" s="42">
        <v>0.6111</v>
      </c>
      <c r="R403" s="42">
        <v>0.5556</v>
      </c>
      <c r="S403" s="42">
        <v>0.0</v>
      </c>
      <c r="T403" s="41">
        <v>0.1111</v>
      </c>
      <c r="U403" s="41">
        <v>0.2222</v>
      </c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ht="15.75" customHeight="1">
      <c r="A404" s="37" t="s">
        <v>707</v>
      </c>
      <c r="B404" s="37" t="s">
        <v>708</v>
      </c>
      <c r="C404" s="37">
        <v>20.0</v>
      </c>
      <c r="D404" s="37">
        <v>1.5110623072E10</v>
      </c>
      <c r="E404" s="37">
        <v>2.30002071E8</v>
      </c>
      <c r="F404" s="37" t="s">
        <v>728</v>
      </c>
      <c r="G404" s="40" t="str">
        <f t="shared" si="27"/>
        <v>OK</v>
      </c>
      <c r="H404" s="40">
        <f t="shared" si="28"/>
        <v>12</v>
      </c>
      <c r="I404" s="40">
        <f t="shared" si="29"/>
        <v>275</v>
      </c>
      <c r="J404" s="40">
        <f t="shared" si="30"/>
        <v>0</v>
      </c>
      <c r="K404" s="40"/>
      <c r="L404" s="42">
        <v>0.7778</v>
      </c>
      <c r="M404" s="42">
        <v>0.8889</v>
      </c>
      <c r="N404" s="42">
        <v>1.0</v>
      </c>
      <c r="O404" s="42">
        <v>0.9444</v>
      </c>
      <c r="P404" s="42">
        <v>1.0</v>
      </c>
      <c r="Q404" s="42">
        <v>0.9444</v>
      </c>
      <c r="R404" s="42">
        <v>0.8889</v>
      </c>
      <c r="S404" s="42">
        <v>0.9444</v>
      </c>
      <c r="T404" s="41">
        <v>0.9444</v>
      </c>
      <c r="U404" s="41">
        <v>0.8333</v>
      </c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ht="15.75" customHeight="1">
      <c r="A405" s="37" t="s">
        <v>707</v>
      </c>
      <c r="B405" s="37" t="s">
        <v>708</v>
      </c>
      <c r="C405" s="37">
        <v>21.0</v>
      </c>
      <c r="D405" s="37">
        <v>1.5110623059E10</v>
      </c>
      <c r="E405" s="37">
        <v>2.30002072E8</v>
      </c>
      <c r="F405" s="37" t="s">
        <v>729</v>
      </c>
      <c r="G405" s="40" t="str">
        <f t="shared" si="27"/>
        <v>Pending</v>
      </c>
      <c r="H405" s="40">
        <f t="shared" si="28"/>
        <v>-2</v>
      </c>
      <c r="I405" s="40">
        <f t="shared" si="29"/>
        <v>235</v>
      </c>
      <c r="J405" s="40">
        <f t="shared" si="30"/>
        <v>5</v>
      </c>
      <c r="K405" s="40"/>
      <c r="L405" s="42">
        <v>0.7778</v>
      </c>
      <c r="M405" s="42">
        <v>0.8333</v>
      </c>
      <c r="N405" s="42">
        <v>0.6667</v>
      </c>
      <c r="O405" s="42">
        <v>0.8889</v>
      </c>
      <c r="P405" s="42">
        <v>0.8889</v>
      </c>
      <c r="Q405" s="42">
        <v>0.8333</v>
      </c>
      <c r="R405" s="42">
        <v>1.0</v>
      </c>
      <c r="S405" s="42">
        <v>0.6111</v>
      </c>
      <c r="T405" s="41">
        <v>0.7222</v>
      </c>
      <c r="U405" s="41">
        <v>0.6111</v>
      </c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ht="15.75" customHeight="1">
      <c r="A406" s="37" t="s">
        <v>707</v>
      </c>
      <c r="B406" s="37" t="s">
        <v>708</v>
      </c>
      <c r="C406" s="37">
        <v>22.0</v>
      </c>
      <c r="D406" s="37">
        <v>1.5110623007E10</v>
      </c>
      <c r="E406" s="37">
        <v>2.30002074E8</v>
      </c>
      <c r="F406" s="37" t="s">
        <v>730</v>
      </c>
      <c r="G406" s="40" t="str">
        <f t="shared" si="27"/>
        <v>OK</v>
      </c>
      <c r="H406" s="40">
        <f t="shared" si="28"/>
        <v>18</v>
      </c>
      <c r="I406" s="40">
        <f t="shared" si="29"/>
        <v>293</v>
      </c>
      <c r="J406" s="40">
        <f t="shared" si="30"/>
        <v>0</v>
      </c>
      <c r="K406" s="40"/>
      <c r="L406" s="42">
        <v>0.7778</v>
      </c>
      <c r="M406" s="42">
        <v>1.0</v>
      </c>
      <c r="N406" s="42">
        <v>1.0</v>
      </c>
      <c r="O406" s="42">
        <v>1.0</v>
      </c>
      <c r="P406" s="42">
        <v>1.0</v>
      </c>
      <c r="Q406" s="42">
        <v>1.0</v>
      </c>
      <c r="R406" s="42">
        <v>1.0</v>
      </c>
      <c r="S406" s="42">
        <v>1.0</v>
      </c>
      <c r="T406" s="41">
        <v>1.0</v>
      </c>
      <c r="U406" s="41">
        <v>1.0</v>
      </c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ht="15.75" customHeight="1">
      <c r="A407" s="37" t="s">
        <v>707</v>
      </c>
      <c r="B407" s="37" t="s">
        <v>708</v>
      </c>
      <c r="C407" s="37">
        <v>23.0</v>
      </c>
      <c r="D407" s="37">
        <v>1.5110623091E10</v>
      </c>
      <c r="E407" s="37">
        <v>2.30002077E8</v>
      </c>
      <c r="F407" s="37" t="s">
        <v>731</v>
      </c>
      <c r="G407" s="40" t="str">
        <f t="shared" si="27"/>
        <v>Pending</v>
      </c>
      <c r="H407" s="40">
        <f t="shared" si="28"/>
        <v>-1</v>
      </c>
      <c r="I407" s="40">
        <f t="shared" si="29"/>
        <v>238</v>
      </c>
      <c r="J407" s="40">
        <f t="shared" si="30"/>
        <v>2</v>
      </c>
      <c r="K407" s="40"/>
      <c r="L407" s="42">
        <v>0.7778</v>
      </c>
      <c r="M407" s="42">
        <v>0.9444</v>
      </c>
      <c r="N407" s="42">
        <v>1.0</v>
      </c>
      <c r="O407" s="42">
        <v>0.9444</v>
      </c>
      <c r="P407" s="42">
        <v>0.9444</v>
      </c>
      <c r="Q407" s="42">
        <v>0.9444</v>
      </c>
      <c r="R407" s="42">
        <v>0.9444</v>
      </c>
      <c r="S407" s="42">
        <v>0.7222</v>
      </c>
      <c r="T407" s="41">
        <v>0.7222</v>
      </c>
      <c r="U407" s="41">
        <v>0.0</v>
      </c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ht="15.75" customHeight="1">
      <c r="A408" s="37" t="s">
        <v>707</v>
      </c>
      <c r="B408" s="37" t="s">
        <v>708</v>
      </c>
      <c r="C408" s="37">
        <v>24.0</v>
      </c>
      <c r="D408" s="37">
        <v>1.5110623021E10</v>
      </c>
      <c r="E408" s="37">
        <v>2.3000208E8</v>
      </c>
      <c r="F408" s="37" t="s">
        <v>732</v>
      </c>
      <c r="G408" s="40" t="str">
        <f t="shared" si="27"/>
        <v>OK</v>
      </c>
      <c r="H408" s="40">
        <f t="shared" si="28"/>
        <v>20</v>
      </c>
      <c r="I408" s="40">
        <f t="shared" si="29"/>
        <v>300</v>
      </c>
      <c r="J408" s="40">
        <f t="shared" si="30"/>
        <v>0</v>
      </c>
      <c r="K408" s="40"/>
      <c r="L408" s="42">
        <v>1.0</v>
      </c>
      <c r="M408" s="42">
        <v>1.0</v>
      </c>
      <c r="N408" s="42">
        <v>1.0</v>
      </c>
      <c r="O408" s="42">
        <v>1.0</v>
      </c>
      <c r="P408" s="42">
        <v>1.0</v>
      </c>
      <c r="Q408" s="42">
        <v>1.0</v>
      </c>
      <c r="R408" s="42">
        <v>1.0</v>
      </c>
      <c r="S408" s="42">
        <v>1.0</v>
      </c>
      <c r="T408" s="41">
        <v>1.0</v>
      </c>
      <c r="U408" s="41">
        <v>1.0</v>
      </c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ht="15.75" customHeight="1">
      <c r="A409" s="37" t="s">
        <v>707</v>
      </c>
      <c r="B409" s="37" t="s">
        <v>708</v>
      </c>
      <c r="C409" s="37">
        <v>25.0</v>
      </c>
      <c r="D409" s="37">
        <v>1.5110623085E10</v>
      </c>
      <c r="E409" s="37">
        <v>2.30002083E8</v>
      </c>
      <c r="F409" s="37" t="s">
        <v>733</v>
      </c>
      <c r="G409" s="40" t="str">
        <f t="shared" si="27"/>
        <v>Pending</v>
      </c>
      <c r="H409" s="40">
        <f t="shared" si="28"/>
        <v>-11</v>
      </c>
      <c r="I409" s="40">
        <f t="shared" si="29"/>
        <v>207</v>
      </c>
      <c r="J409" s="40">
        <f t="shared" si="30"/>
        <v>33</v>
      </c>
      <c r="K409" s="40"/>
      <c r="L409" s="42">
        <v>0.3333</v>
      </c>
      <c r="M409" s="42">
        <v>0.7778</v>
      </c>
      <c r="N409" s="42">
        <v>0.7778</v>
      </c>
      <c r="O409" s="42">
        <v>0.7222</v>
      </c>
      <c r="P409" s="42">
        <v>0.5556</v>
      </c>
      <c r="Q409" s="42">
        <v>0.8333</v>
      </c>
      <c r="R409" s="42">
        <v>0.9444</v>
      </c>
      <c r="S409" s="42">
        <v>0.7222</v>
      </c>
      <c r="T409" s="41">
        <v>0.5556</v>
      </c>
      <c r="U409" s="41">
        <v>0.6667</v>
      </c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ht="15.75" customHeight="1">
      <c r="A410" s="37" t="s">
        <v>707</v>
      </c>
      <c r="B410" s="37" t="s">
        <v>708</v>
      </c>
      <c r="C410" s="37">
        <v>26.0</v>
      </c>
      <c r="D410" s="37">
        <v>1.5110623038E10</v>
      </c>
      <c r="E410" s="37">
        <v>2.30002084E8</v>
      </c>
      <c r="F410" s="37" t="s">
        <v>734</v>
      </c>
      <c r="G410" s="40" t="str">
        <f t="shared" si="27"/>
        <v>Pending</v>
      </c>
      <c r="H410" s="40">
        <f t="shared" si="28"/>
        <v>-21</v>
      </c>
      <c r="I410" s="40">
        <f t="shared" si="29"/>
        <v>177</v>
      </c>
      <c r="J410" s="40">
        <f t="shared" si="30"/>
        <v>63</v>
      </c>
      <c r="K410" s="40"/>
      <c r="L410" s="42">
        <v>1.0</v>
      </c>
      <c r="M410" s="42">
        <v>1.0</v>
      </c>
      <c r="N410" s="42">
        <v>1.0</v>
      </c>
      <c r="O410" s="42">
        <v>0.8889</v>
      </c>
      <c r="P410" s="42">
        <v>1.0</v>
      </c>
      <c r="Q410" s="42">
        <v>0.3333</v>
      </c>
      <c r="R410" s="42">
        <v>0.3889</v>
      </c>
      <c r="S410" s="42">
        <v>0.0</v>
      </c>
      <c r="T410" s="41">
        <v>0.2778</v>
      </c>
      <c r="U410" s="41">
        <v>0.0</v>
      </c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ht="15.75" customHeight="1">
      <c r="A411" s="37" t="s">
        <v>707</v>
      </c>
      <c r="B411" s="37" t="s">
        <v>708</v>
      </c>
      <c r="C411" s="37">
        <v>27.0</v>
      </c>
      <c r="D411" s="37">
        <v>1.5110623089E10</v>
      </c>
      <c r="E411" s="37">
        <v>2.30002085E8</v>
      </c>
      <c r="F411" s="37" t="s">
        <v>735</v>
      </c>
      <c r="G411" s="40" t="str">
        <f t="shared" si="27"/>
        <v>Pending</v>
      </c>
      <c r="H411" s="40">
        <f t="shared" si="28"/>
        <v>-45</v>
      </c>
      <c r="I411" s="40">
        <f t="shared" si="29"/>
        <v>105</v>
      </c>
      <c r="J411" s="40">
        <f t="shared" si="30"/>
        <v>135</v>
      </c>
      <c r="K411" s="40"/>
      <c r="L411" s="42">
        <v>0.0</v>
      </c>
      <c r="M411" s="42">
        <v>0.7222</v>
      </c>
      <c r="N411" s="42">
        <v>0.1667</v>
      </c>
      <c r="O411" s="42">
        <v>0.8889</v>
      </c>
      <c r="P411" s="42">
        <v>0.7778</v>
      </c>
      <c r="Q411" s="42">
        <v>0.7222</v>
      </c>
      <c r="R411" s="42">
        <v>0.0</v>
      </c>
      <c r="S411" s="42">
        <v>0.0</v>
      </c>
      <c r="T411" s="41">
        <v>0.2222</v>
      </c>
      <c r="U411" s="41">
        <v>0.0</v>
      </c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ht="15.75" customHeight="1">
      <c r="A412" s="37" t="s">
        <v>707</v>
      </c>
      <c r="B412" s="37" t="s">
        <v>708</v>
      </c>
      <c r="C412" s="37">
        <v>28.0</v>
      </c>
      <c r="D412" s="37">
        <v>1.5110623051E10</v>
      </c>
      <c r="E412" s="37">
        <v>2.30002086E8</v>
      </c>
      <c r="F412" s="37" t="s">
        <v>736</v>
      </c>
      <c r="G412" s="40" t="str">
        <f t="shared" si="27"/>
        <v>OK</v>
      </c>
      <c r="H412" s="40">
        <f t="shared" si="28"/>
        <v>2</v>
      </c>
      <c r="I412" s="40">
        <f t="shared" si="29"/>
        <v>247</v>
      </c>
      <c r="J412" s="40">
        <f t="shared" si="30"/>
        <v>0</v>
      </c>
      <c r="K412" s="40"/>
      <c r="L412" s="42">
        <v>0.8333</v>
      </c>
      <c r="M412" s="42">
        <v>0.9444</v>
      </c>
      <c r="N412" s="42">
        <v>0.8889</v>
      </c>
      <c r="O412" s="42">
        <v>0.8333</v>
      </c>
      <c r="P412" s="42">
        <v>0.9444</v>
      </c>
      <c r="Q412" s="42">
        <v>0.8889</v>
      </c>
      <c r="R412" s="42">
        <v>0.8333</v>
      </c>
      <c r="S412" s="42">
        <v>0.7778</v>
      </c>
      <c r="T412" s="41">
        <v>0.7778</v>
      </c>
      <c r="U412" s="41">
        <v>0.5</v>
      </c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ht="15.75" customHeight="1">
      <c r="A413" s="37" t="s">
        <v>707</v>
      </c>
      <c r="B413" s="37" t="s">
        <v>708</v>
      </c>
      <c r="C413" s="37">
        <v>29.0</v>
      </c>
      <c r="D413" s="37">
        <v>1.5110623053E10</v>
      </c>
      <c r="E413" s="37">
        <v>2.30002087E8</v>
      </c>
      <c r="F413" s="37" t="s">
        <v>737</v>
      </c>
      <c r="G413" s="40" t="str">
        <f t="shared" si="27"/>
        <v>Pending</v>
      </c>
      <c r="H413" s="40">
        <f t="shared" si="28"/>
        <v>-19</v>
      </c>
      <c r="I413" s="40">
        <f t="shared" si="29"/>
        <v>182</v>
      </c>
      <c r="J413" s="40">
        <f t="shared" si="30"/>
        <v>58</v>
      </c>
      <c r="K413" s="40"/>
      <c r="L413" s="42">
        <v>0.5</v>
      </c>
      <c r="M413" s="42">
        <v>0.8889</v>
      </c>
      <c r="N413" s="42">
        <v>1.0</v>
      </c>
      <c r="O413" s="42">
        <v>0.8889</v>
      </c>
      <c r="P413" s="42">
        <v>0.9444</v>
      </c>
      <c r="Q413" s="42">
        <v>1.0</v>
      </c>
      <c r="R413" s="42">
        <v>0.3889</v>
      </c>
      <c r="S413" s="42">
        <v>0.2222</v>
      </c>
      <c r="T413" s="41">
        <v>0.2222</v>
      </c>
      <c r="U413" s="41">
        <v>0.0</v>
      </c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ht="15.75" customHeight="1">
      <c r="A414" s="37" t="s">
        <v>707</v>
      </c>
      <c r="B414" s="37" t="s">
        <v>708</v>
      </c>
      <c r="C414" s="37">
        <v>30.0</v>
      </c>
      <c r="D414" s="37">
        <v>1.5110623056E10</v>
      </c>
      <c r="E414" s="37">
        <v>2.30002088E8</v>
      </c>
      <c r="F414" s="37" t="s">
        <v>738</v>
      </c>
      <c r="G414" s="40" t="str">
        <f t="shared" si="27"/>
        <v>OK</v>
      </c>
      <c r="H414" s="40">
        <f t="shared" si="28"/>
        <v>9</v>
      </c>
      <c r="I414" s="40">
        <f t="shared" si="29"/>
        <v>267</v>
      </c>
      <c r="J414" s="40">
        <f t="shared" si="30"/>
        <v>0</v>
      </c>
      <c r="K414" s="40"/>
      <c r="L414" s="42">
        <v>0.6111</v>
      </c>
      <c r="M414" s="42">
        <v>1.0</v>
      </c>
      <c r="N414" s="42">
        <v>0.8889</v>
      </c>
      <c r="O414" s="42">
        <v>0.8333</v>
      </c>
      <c r="P414" s="42">
        <v>1.0</v>
      </c>
      <c r="Q414" s="42">
        <v>0.9444</v>
      </c>
      <c r="R414" s="42">
        <v>0.9444</v>
      </c>
      <c r="S414" s="42">
        <v>0.8889</v>
      </c>
      <c r="T414" s="41">
        <v>0.9444</v>
      </c>
      <c r="U414" s="41">
        <v>0.8333</v>
      </c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ht="15.75" customHeight="1">
      <c r="A415" s="37" t="s">
        <v>707</v>
      </c>
      <c r="B415" s="37" t="s">
        <v>708</v>
      </c>
      <c r="C415" s="37">
        <v>31.0</v>
      </c>
      <c r="D415" s="37">
        <v>1.5110623096E10</v>
      </c>
      <c r="E415" s="37">
        <v>2.30002092E8</v>
      </c>
      <c r="F415" s="37" t="s">
        <v>739</v>
      </c>
      <c r="G415" s="40" t="str">
        <f t="shared" si="27"/>
        <v>Pending</v>
      </c>
      <c r="H415" s="40">
        <f t="shared" si="28"/>
        <v>-3</v>
      </c>
      <c r="I415" s="40">
        <f t="shared" si="29"/>
        <v>232</v>
      </c>
      <c r="J415" s="40">
        <f t="shared" si="30"/>
        <v>8</v>
      </c>
      <c r="K415" s="40"/>
      <c r="L415" s="42">
        <v>0.3333</v>
      </c>
      <c r="M415" s="42">
        <v>0.7778</v>
      </c>
      <c r="N415" s="42">
        <v>0.9444</v>
      </c>
      <c r="O415" s="42">
        <v>0.9444</v>
      </c>
      <c r="P415" s="42">
        <v>0.7778</v>
      </c>
      <c r="Q415" s="42">
        <v>0.6667</v>
      </c>
      <c r="R415" s="42">
        <v>0.9444</v>
      </c>
      <c r="S415" s="42">
        <v>0.7778</v>
      </c>
      <c r="T415" s="41">
        <v>0.9444</v>
      </c>
      <c r="U415" s="41">
        <v>0.6111</v>
      </c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ht="15.75" customHeight="1">
      <c r="A416" s="37" t="s">
        <v>707</v>
      </c>
      <c r="B416" s="37" t="s">
        <v>740</v>
      </c>
      <c r="C416" s="37">
        <v>32.0</v>
      </c>
      <c r="D416" s="37">
        <v>1.511062309E10</v>
      </c>
      <c r="E416" s="37">
        <v>2.30002094E8</v>
      </c>
      <c r="F416" s="37" t="s">
        <v>741</v>
      </c>
      <c r="G416" s="40" t="str">
        <f t="shared" si="27"/>
        <v>Pending</v>
      </c>
      <c r="H416" s="40">
        <f t="shared" si="28"/>
        <v>-8</v>
      </c>
      <c r="I416" s="40">
        <f t="shared" si="29"/>
        <v>215</v>
      </c>
      <c r="J416" s="40">
        <f t="shared" si="30"/>
        <v>25</v>
      </c>
      <c r="K416" s="40"/>
      <c r="L416" s="42">
        <v>0.5</v>
      </c>
      <c r="M416" s="42">
        <v>0.8889</v>
      </c>
      <c r="N416" s="42">
        <v>0.8333</v>
      </c>
      <c r="O416" s="42">
        <v>1.0</v>
      </c>
      <c r="P416" s="42">
        <v>0.5556</v>
      </c>
      <c r="Q416" s="42">
        <v>0.7778</v>
      </c>
      <c r="R416" s="42">
        <v>0.6111</v>
      </c>
      <c r="S416" s="42">
        <v>0.6111</v>
      </c>
      <c r="T416" s="41">
        <v>0.9444</v>
      </c>
      <c r="U416" s="41">
        <v>0.4444</v>
      </c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ht="15.75" customHeight="1">
      <c r="A417" s="37" t="s">
        <v>707</v>
      </c>
      <c r="B417" s="37" t="s">
        <v>740</v>
      </c>
      <c r="C417" s="37">
        <v>33.0</v>
      </c>
      <c r="D417" s="37">
        <v>1.5110624016E10</v>
      </c>
      <c r="E417" s="37">
        <v>2.41002002E8</v>
      </c>
      <c r="F417" s="37" t="s">
        <v>742</v>
      </c>
      <c r="G417" s="40" t="str">
        <f t="shared" si="27"/>
        <v>OK</v>
      </c>
      <c r="H417" s="40">
        <f t="shared" si="28"/>
        <v>4</v>
      </c>
      <c r="I417" s="40">
        <f t="shared" si="29"/>
        <v>252</v>
      </c>
      <c r="J417" s="40">
        <f t="shared" si="30"/>
        <v>0</v>
      </c>
      <c r="K417" s="40"/>
      <c r="L417" s="42">
        <v>0.8889</v>
      </c>
      <c r="M417" s="42">
        <v>0.8889</v>
      </c>
      <c r="N417" s="42">
        <v>0.9444</v>
      </c>
      <c r="O417" s="42">
        <v>0.7778</v>
      </c>
      <c r="P417" s="42">
        <v>0.8333</v>
      </c>
      <c r="Q417" s="42">
        <v>0.8889</v>
      </c>
      <c r="R417" s="42">
        <v>0.8333</v>
      </c>
      <c r="S417" s="42">
        <v>0.8333</v>
      </c>
      <c r="T417" s="41">
        <v>0.6667</v>
      </c>
      <c r="U417" s="41">
        <v>0.8333</v>
      </c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ht="15.75" customHeight="1">
      <c r="A418" s="37" t="s">
        <v>707</v>
      </c>
      <c r="B418" s="37" t="s">
        <v>740</v>
      </c>
      <c r="C418" s="37">
        <v>34.0</v>
      </c>
      <c r="D418" s="37">
        <v>1.5110624026E10</v>
      </c>
      <c r="E418" s="37">
        <v>2.41002003E8</v>
      </c>
      <c r="F418" s="37" t="s">
        <v>743</v>
      </c>
      <c r="G418" s="40" t="str">
        <f t="shared" si="27"/>
        <v>Pending</v>
      </c>
      <c r="H418" s="40">
        <f t="shared" si="28"/>
        <v>-43</v>
      </c>
      <c r="I418" s="40">
        <f t="shared" si="29"/>
        <v>112</v>
      </c>
      <c r="J418" s="40">
        <f t="shared" si="30"/>
        <v>128</v>
      </c>
      <c r="K418" s="40"/>
      <c r="L418" s="42">
        <v>0.0556</v>
      </c>
      <c r="M418" s="42">
        <v>0.0556</v>
      </c>
      <c r="N418" s="42">
        <v>0.0</v>
      </c>
      <c r="O418" s="42">
        <v>0.5556</v>
      </c>
      <c r="P418" s="42">
        <v>0.7778</v>
      </c>
      <c r="Q418" s="42">
        <v>0.3333</v>
      </c>
      <c r="R418" s="42">
        <v>0.8333</v>
      </c>
      <c r="S418" s="42">
        <v>0.5</v>
      </c>
      <c r="T418" s="41">
        <v>0.2778</v>
      </c>
      <c r="U418" s="41">
        <v>0.3333</v>
      </c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ht="15.75" customHeight="1">
      <c r="A419" s="37" t="s">
        <v>707</v>
      </c>
      <c r="B419" s="37" t="s">
        <v>740</v>
      </c>
      <c r="C419" s="37">
        <v>35.0</v>
      </c>
      <c r="D419" s="37">
        <v>1.5110624104E10</v>
      </c>
      <c r="E419" s="37">
        <v>2.41002005E8</v>
      </c>
      <c r="F419" s="37" t="s">
        <v>744</v>
      </c>
      <c r="G419" s="40" t="str">
        <f t="shared" si="27"/>
        <v>OK</v>
      </c>
      <c r="H419" s="40">
        <f t="shared" si="28"/>
        <v>8</v>
      </c>
      <c r="I419" s="40">
        <f t="shared" si="29"/>
        <v>263</v>
      </c>
      <c r="J419" s="40">
        <f t="shared" si="30"/>
        <v>0</v>
      </c>
      <c r="K419" s="40"/>
      <c r="L419" s="42">
        <v>0.0</v>
      </c>
      <c r="M419" s="42">
        <v>1.0</v>
      </c>
      <c r="N419" s="42">
        <v>1.0</v>
      </c>
      <c r="O419" s="42">
        <v>1.0</v>
      </c>
      <c r="P419" s="42">
        <v>1.0</v>
      </c>
      <c r="Q419" s="42">
        <v>1.0</v>
      </c>
      <c r="R419" s="42">
        <v>1.0</v>
      </c>
      <c r="S419" s="42">
        <v>0.8889</v>
      </c>
      <c r="T419" s="41">
        <v>1.0</v>
      </c>
      <c r="U419" s="41">
        <v>0.8889</v>
      </c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ht="15.75" customHeight="1">
      <c r="A420" s="37" t="s">
        <v>707</v>
      </c>
      <c r="B420" s="37" t="s">
        <v>740</v>
      </c>
      <c r="C420" s="37">
        <v>36.0</v>
      </c>
      <c r="D420" s="37">
        <v>1.5110624072E10</v>
      </c>
      <c r="E420" s="37">
        <v>2.41002006E8</v>
      </c>
      <c r="F420" s="37" t="s">
        <v>745</v>
      </c>
      <c r="G420" s="40" t="str">
        <f t="shared" si="27"/>
        <v>Pending</v>
      </c>
      <c r="H420" s="40">
        <f t="shared" si="28"/>
        <v>-36</v>
      </c>
      <c r="I420" s="40">
        <f t="shared" si="29"/>
        <v>133</v>
      </c>
      <c r="J420" s="40">
        <f t="shared" si="30"/>
        <v>107</v>
      </c>
      <c r="K420" s="40"/>
      <c r="L420" s="42">
        <v>0.2222</v>
      </c>
      <c r="M420" s="42">
        <v>1.0</v>
      </c>
      <c r="N420" s="42">
        <v>0.2778</v>
      </c>
      <c r="O420" s="42">
        <v>0.5556</v>
      </c>
      <c r="P420" s="42">
        <v>0.3333</v>
      </c>
      <c r="Q420" s="42">
        <v>0.3889</v>
      </c>
      <c r="R420" s="42">
        <v>0.3889</v>
      </c>
      <c r="S420" s="42">
        <v>0.3333</v>
      </c>
      <c r="T420" s="41">
        <v>0.2778</v>
      </c>
      <c r="U420" s="41">
        <v>0.6667</v>
      </c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ht="15.75" customHeight="1">
      <c r="A421" s="37" t="s">
        <v>707</v>
      </c>
      <c r="B421" s="37" t="s">
        <v>740</v>
      </c>
      <c r="C421" s="37">
        <v>37.0</v>
      </c>
      <c r="D421" s="37">
        <v>1.5110624128E10</v>
      </c>
      <c r="E421" s="37">
        <v>2.41002007E8</v>
      </c>
      <c r="F421" s="37" t="s">
        <v>746</v>
      </c>
      <c r="G421" s="40" t="str">
        <f t="shared" si="27"/>
        <v>Pending</v>
      </c>
      <c r="H421" s="40">
        <f t="shared" si="28"/>
        <v>-46</v>
      </c>
      <c r="I421" s="40">
        <f t="shared" si="29"/>
        <v>103</v>
      </c>
      <c r="J421" s="40">
        <f t="shared" si="30"/>
        <v>137</v>
      </c>
      <c r="K421" s="40"/>
      <c r="L421" s="42">
        <v>0.7222</v>
      </c>
      <c r="M421" s="42">
        <v>0.8889</v>
      </c>
      <c r="N421" s="42">
        <v>0.0556</v>
      </c>
      <c r="O421" s="42">
        <v>0.1111</v>
      </c>
      <c r="P421" s="42">
        <v>0.0556</v>
      </c>
      <c r="Q421" s="42">
        <v>0.0</v>
      </c>
      <c r="R421" s="42">
        <v>0.3889</v>
      </c>
      <c r="S421" s="42">
        <v>0.1111</v>
      </c>
      <c r="T421" s="41">
        <v>0.9444</v>
      </c>
      <c r="U421" s="41">
        <v>0.1667</v>
      </c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ht="15.75" customHeight="1">
      <c r="A422" s="37" t="s">
        <v>707</v>
      </c>
      <c r="B422" s="37" t="s">
        <v>740</v>
      </c>
      <c r="C422" s="37">
        <v>38.0</v>
      </c>
      <c r="D422" s="37">
        <v>1.5110624156E10</v>
      </c>
      <c r="E422" s="37">
        <v>2.41002009E8</v>
      </c>
      <c r="F422" s="37" t="s">
        <v>747</v>
      </c>
      <c r="G422" s="40" t="str">
        <f t="shared" si="27"/>
        <v>OK</v>
      </c>
      <c r="H422" s="40">
        <f t="shared" si="28"/>
        <v>19</v>
      </c>
      <c r="I422" s="40">
        <f t="shared" si="29"/>
        <v>298</v>
      </c>
      <c r="J422" s="40">
        <f t="shared" si="30"/>
        <v>0</v>
      </c>
      <c r="K422" s="40"/>
      <c r="L422" s="42">
        <v>1.0</v>
      </c>
      <c r="M422" s="42">
        <v>1.0</v>
      </c>
      <c r="N422" s="42">
        <v>1.0</v>
      </c>
      <c r="O422" s="42">
        <v>1.0</v>
      </c>
      <c r="P422" s="42">
        <v>1.0</v>
      </c>
      <c r="Q422" s="42">
        <v>1.0</v>
      </c>
      <c r="R422" s="42">
        <v>1.0</v>
      </c>
      <c r="S422" s="42">
        <v>1.0</v>
      </c>
      <c r="T422" s="41">
        <v>0.9444</v>
      </c>
      <c r="U422" s="41">
        <v>1.0</v>
      </c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ht="15.75" customHeight="1">
      <c r="A423" s="37" t="s">
        <v>707</v>
      </c>
      <c r="B423" s="37" t="s">
        <v>740</v>
      </c>
      <c r="C423" s="37">
        <v>39.0</v>
      </c>
      <c r="D423" s="37">
        <v>1.5110624186E10</v>
      </c>
      <c r="E423" s="37">
        <v>2.4100201E8</v>
      </c>
      <c r="F423" s="37" t="s">
        <v>748</v>
      </c>
      <c r="G423" s="40" t="str">
        <f t="shared" si="27"/>
        <v>OK</v>
      </c>
      <c r="H423" s="40">
        <f t="shared" si="28"/>
        <v>7</v>
      </c>
      <c r="I423" s="40">
        <f t="shared" si="29"/>
        <v>262</v>
      </c>
      <c r="J423" s="40">
        <f t="shared" si="30"/>
        <v>0</v>
      </c>
      <c r="K423" s="40"/>
      <c r="L423" s="42">
        <v>0.7222</v>
      </c>
      <c r="M423" s="42">
        <v>0.9444</v>
      </c>
      <c r="N423" s="42">
        <v>1.0</v>
      </c>
      <c r="O423" s="42">
        <v>0.8889</v>
      </c>
      <c r="P423" s="42">
        <v>0.9444</v>
      </c>
      <c r="Q423" s="42">
        <v>0.7778</v>
      </c>
      <c r="R423" s="42">
        <v>0.7778</v>
      </c>
      <c r="S423" s="42">
        <v>0.8889</v>
      </c>
      <c r="T423" s="41">
        <v>1.0</v>
      </c>
      <c r="U423" s="41">
        <v>0.7778</v>
      </c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ht="15.75" customHeight="1">
      <c r="A424" s="37" t="s">
        <v>707</v>
      </c>
      <c r="B424" s="37" t="s">
        <v>740</v>
      </c>
      <c r="C424" s="37">
        <v>40.0</v>
      </c>
      <c r="D424" s="37">
        <v>1.5110624004E10</v>
      </c>
      <c r="E424" s="37">
        <v>2.41002011E8</v>
      </c>
      <c r="F424" s="37" t="s">
        <v>749</v>
      </c>
      <c r="G424" s="40" t="str">
        <f t="shared" si="27"/>
        <v>Pending</v>
      </c>
      <c r="H424" s="40">
        <f t="shared" si="28"/>
        <v>-6</v>
      </c>
      <c r="I424" s="40">
        <f t="shared" si="29"/>
        <v>223</v>
      </c>
      <c r="J424" s="40">
        <f t="shared" si="30"/>
        <v>17</v>
      </c>
      <c r="K424" s="40"/>
      <c r="L424" s="42">
        <v>0.5556</v>
      </c>
      <c r="M424" s="42">
        <v>0.7222</v>
      </c>
      <c r="N424" s="42">
        <v>0.7222</v>
      </c>
      <c r="O424" s="42">
        <v>0.7778</v>
      </c>
      <c r="P424" s="42">
        <v>0.7778</v>
      </c>
      <c r="Q424" s="42">
        <v>0.6667</v>
      </c>
      <c r="R424" s="42">
        <v>0.6667</v>
      </c>
      <c r="S424" s="42">
        <v>0.8333</v>
      </c>
      <c r="T424" s="41">
        <v>0.8889</v>
      </c>
      <c r="U424" s="41">
        <v>0.8333</v>
      </c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ht="15.75" customHeight="1">
      <c r="A425" s="37" t="s">
        <v>707</v>
      </c>
      <c r="B425" s="37" t="s">
        <v>740</v>
      </c>
      <c r="C425" s="37">
        <v>41.0</v>
      </c>
      <c r="D425" s="37">
        <v>1.5110624118E10</v>
      </c>
      <c r="E425" s="37">
        <v>2.41002014E8</v>
      </c>
      <c r="F425" s="37" t="s">
        <v>750</v>
      </c>
      <c r="G425" s="40" t="str">
        <f t="shared" si="27"/>
        <v>OK</v>
      </c>
      <c r="H425" s="40">
        <f t="shared" si="28"/>
        <v>9</v>
      </c>
      <c r="I425" s="40">
        <f t="shared" si="29"/>
        <v>267</v>
      </c>
      <c r="J425" s="40">
        <f t="shared" si="30"/>
        <v>0</v>
      </c>
      <c r="K425" s="40"/>
      <c r="L425" s="42">
        <v>0.9444</v>
      </c>
      <c r="M425" s="42">
        <v>0.8889</v>
      </c>
      <c r="N425" s="42">
        <v>0.8889</v>
      </c>
      <c r="O425" s="42">
        <v>0.8333</v>
      </c>
      <c r="P425" s="42">
        <v>1.0</v>
      </c>
      <c r="Q425" s="42">
        <v>0.8889</v>
      </c>
      <c r="R425" s="42">
        <v>0.8889</v>
      </c>
      <c r="S425" s="42">
        <v>0.8333</v>
      </c>
      <c r="T425" s="41">
        <v>0.8889</v>
      </c>
      <c r="U425" s="41">
        <v>0.8333</v>
      </c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ht="15.75" customHeight="1">
      <c r="A426" s="37" t="s">
        <v>707</v>
      </c>
      <c r="B426" s="37" t="s">
        <v>740</v>
      </c>
      <c r="C426" s="37">
        <v>42.0</v>
      </c>
      <c r="D426" s="37">
        <v>1.5110624069E10</v>
      </c>
      <c r="E426" s="37">
        <v>2.41002016E8</v>
      </c>
      <c r="F426" s="37" t="s">
        <v>751</v>
      </c>
      <c r="G426" s="40" t="str">
        <f t="shared" si="27"/>
        <v>Pending</v>
      </c>
      <c r="H426" s="40">
        <f t="shared" si="28"/>
        <v>-19</v>
      </c>
      <c r="I426" s="40">
        <f t="shared" si="29"/>
        <v>182</v>
      </c>
      <c r="J426" s="40">
        <f t="shared" si="30"/>
        <v>58</v>
      </c>
      <c r="K426" s="40"/>
      <c r="L426" s="42">
        <v>0.4444</v>
      </c>
      <c r="M426" s="42">
        <v>0.5556</v>
      </c>
      <c r="N426" s="42">
        <v>0.8889</v>
      </c>
      <c r="O426" s="42">
        <v>0.3889</v>
      </c>
      <c r="P426" s="42">
        <v>0.6111</v>
      </c>
      <c r="Q426" s="42">
        <v>0.6667</v>
      </c>
      <c r="R426" s="42">
        <v>0.8889</v>
      </c>
      <c r="S426" s="42">
        <v>0.4444</v>
      </c>
      <c r="T426" s="41">
        <v>0.6111</v>
      </c>
      <c r="U426" s="41">
        <v>0.5556</v>
      </c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ht="15.75" customHeight="1">
      <c r="A427" s="37" t="s">
        <v>707</v>
      </c>
      <c r="B427" s="37" t="s">
        <v>740</v>
      </c>
      <c r="C427" s="37">
        <v>43.0</v>
      </c>
      <c r="D427" s="37">
        <v>1.5110624067E10</v>
      </c>
      <c r="E427" s="37">
        <v>2.41002017E8</v>
      </c>
      <c r="F427" s="37" t="s">
        <v>752</v>
      </c>
      <c r="G427" s="40" t="str">
        <f t="shared" si="27"/>
        <v>OK</v>
      </c>
      <c r="H427" s="40">
        <f t="shared" si="28"/>
        <v>8</v>
      </c>
      <c r="I427" s="40">
        <f t="shared" si="29"/>
        <v>263</v>
      </c>
      <c r="J427" s="40">
        <f t="shared" si="30"/>
        <v>0</v>
      </c>
      <c r="K427" s="40"/>
      <c r="L427" s="42">
        <v>1.0</v>
      </c>
      <c r="M427" s="42">
        <v>0.9444</v>
      </c>
      <c r="N427" s="42">
        <v>0.8889</v>
      </c>
      <c r="O427" s="42">
        <v>0.8889</v>
      </c>
      <c r="P427" s="42">
        <v>0.9444</v>
      </c>
      <c r="Q427" s="42">
        <v>0.9444</v>
      </c>
      <c r="R427" s="42">
        <v>0.5</v>
      </c>
      <c r="S427" s="42">
        <v>0.8889</v>
      </c>
      <c r="T427" s="41">
        <v>0.9444</v>
      </c>
      <c r="U427" s="41">
        <v>0.8333</v>
      </c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ht="15.75" customHeight="1">
      <c r="A428" s="37" t="s">
        <v>707</v>
      </c>
      <c r="B428" s="37" t="s">
        <v>740</v>
      </c>
      <c r="C428" s="37">
        <v>44.0</v>
      </c>
      <c r="D428" s="37">
        <v>1.5110624088E10</v>
      </c>
      <c r="E428" s="37">
        <v>2.41002019E8</v>
      </c>
      <c r="F428" s="37" t="s">
        <v>753</v>
      </c>
      <c r="G428" s="40" t="str">
        <f t="shared" si="27"/>
        <v>Pending</v>
      </c>
      <c r="H428" s="40">
        <f t="shared" si="28"/>
        <v>-3</v>
      </c>
      <c r="I428" s="40">
        <f t="shared" si="29"/>
        <v>232</v>
      </c>
      <c r="J428" s="40">
        <f t="shared" si="30"/>
        <v>8</v>
      </c>
      <c r="K428" s="40"/>
      <c r="L428" s="42">
        <v>0.9444</v>
      </c>
      <c r="M428" s="42">
        <v>0.6667</v>
      </c>
      <c r="N428" s="42">
        <v>0.7222</v>
      </c>
      <c r="O428" s="42">
        <v>0.9444</v>
      </c>
      <c r="P428" s="42">
        <v>0.9444</v>
      </c>
      <c r="Q428" s="42">
        <v>1.0</v>
      </c>
      <c r="R428" s="42">
        <v>0.4444</v>
      </c>
      <c r="S428" s="42">
        <v>1.0</v>
      </c>
      <c r="T428" s="41">
        <v>0.9444</v>
      </c>
      <c r="U428" s="41">
        <v>0.1111</v>
      </c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ht="15.75" customHeight="1">
      <c r="A429" s="37" t="s">
        <v>707</v>
      </c>
      <c r="B429" s="37" t="s">
        <v>740</v>
      </c>
      <c r="C429" s="37">
        <v>45.0</v>
      </c>
      <c r="D429" s="37">
        <v>1.5110624025E10</v>
      </c>
      <c r="E429" s="37">
        <v>2.4100202E8</v>
      </c>
      <c r="F429" s="37" t="s">
        <v>754</v>
      </c>
      <c r="G429" s="40" t="str">
        <f t="shared" si="27"/>
        <v>Pending</v>
      </c>
      <c r="H429" s="40">
        <f t="shared" si="28"/>
        <v>-11</v>
      </c>
      <c r="I429" s="40">
        <f t="shared" si="29"/>
        <v>207</v>
      </c>
      <c r="J429" s="40">
        <f t="shared" si="30"/>
        <v>33</v>
      </c>
      <c r="K429" s="40"/>
      <c r="L429" s="42">
        <v>0.6111</v>
      </c>
      <c r="M429" s="42">
        <v>0.6667</v>
      </c>
      <c r="N429" s="42">
        <v>0.8333</v>
      </c>
      <c r="O429" s="42">
        <v>0.7778</v>
      </c>
      <c r="P429" s="42">
        <v>0.6667</v>
      </c>
      <c r="Q429" s="42">
        <v>0.3333</v>
      </c>
      <c r="R429" s="42">
        <v>0.8333</v>
      </c>
      <c r="S429" s="42">
        <v>0.7778</v>
      </c>
      <c r="T429" s="41">
        <v>0.7222</v>
      </c>
      <c r="U429" s="41">
        <v>0.6667</v>
      </c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ht="15.75" customHeight="1">
      <c r="A430" s="37" t="s">
        <v>707</v>
      </c>
      <c r="B430" s="37" t="s">
        <v>740</v>
      </c>
      <c r="C430" s="37">
        <v>46.0</v>
      </c>
      <c r="D430" s="37">
        <v>1.5110624094E10</v>
      </c>
      <c r="E430" s="37">
        <v>2.41002021E8</v>
      </c>
      <c r="F430" s="37" t="s">
        <v>755</v>
      </c>
      <c r="G430" s="40" t="str">
        <f t="shared" si="27"/>
        <v>OK</v>
      </c>
      <c r="H430" s="40">
        <f t="shared" si="28"/>
        <v>13</v>
      </c>
      <c r="I430" s="40">
        <f t="shared" si="29"/>
        <v>278</v>
      </c>
      <c r="J430" s="40">
        <f t="shared" si="30"/>
        <v>0</v>
      </c>
      <c r="K430" s="40"/>
      <c r="L430" s="42">
        <v>1.0</v>
      </c>
      <c r="M430" s="42">
        <v>1.0</v>
      </c>
      <c r="N430" s="42">
        <v>0.7778</v>
      </c>
      <c r="O430" s="42">
        <v>0.8333</v>
      </c>
      <c r="P430" s="42">
        <v>1.0</v>
      </c>
      <c r="Q430" s="42">
        <v>0.8889</v>
      </c>
      <c r="R430" s="42">
        <v>1.0</v>
      </c>
      <c r="S430" s="42">
        <v>0.8889</v>
      </c>
      <c r="T430" s="41">
        <v>1.0</v>
      </c>
      <c r="U430" s="41">
        <v>0.8889</v>
      </c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ht="15.75" customHeight="1">
      <c r="A431" s="37" t="s">
        <v>707</v>
      </c>
      <c r="B431" s="37" t="s">
        <v>740</v>
      </c>
      <c r="C431" s="37">
        <v>47.0</v>
      </c>
      <c r="D431" s="37">
        <v>1.5110624127E10</v>
      </c>
      <c r="E431" s="37">
        <v>2.41002022E8</v>
      </c>
      <c r="F431" s="37" t="s">
        <v>756</v>
      </c>
      <c r="G431" s="40" t="str">
        <f t="shared" si="27"/>
        <v>OK</v>
      </c>
      <c r="H431" s="40">
        <f t="shared" si="28"/>
        <v>2</v>
      </c>
      <c r="I431" s="40">
        <f t="shared" si="29"/>
        <v>245</v>
      </c>
      <c r="J431" s="40">
        <f t="shared" si="30"/>
        <v>0</v>
      </c>
      <c r="K431" s="40"/>
      <c r="L431" s="42">
        <v>0.7778</v>
      </c>
      <c r="M431" s="42">
        <v>0.8333</v>
      </c>
      <c r="N431" s="42">
        <v>1.0</v>
      </c>
      <c r="O431" s="42">
        <v>0.7222</v>
      </c>
      <c r="P431" s="42">
        <v>0.8889</v>
      </c>
      <c r="Q431" s="42">
        <v>0.7222</v>
      </c>
      <c r="R431" s="42">
        <v>0.6111</v>
      </c>
      <c r="S431" s="42">
        <v>0.8333</v>
      </c>
      <c r="T431" s="41">
        <v>0.8889</v>
      </c>
      <c r="U431" s="41">
        <v>0.8889</v>
      </c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ht="15.75" customHeight="1">
      <c r="A432" s="37" t="s">
        <v>707</v>
      </c>
      <c r="B432" s="37" t="s">
        <v>740</v>
      </c>
      <c r="C432" s="37">
        <v>48.0</v>
      </c>
      <c r="D432" s="37">
        <v>1.5110624031E10</v>
      </c>
      <c r="E432" s="37">
        <v>2.41002023E8</v>
      </c>
      <c r="F432" s="37" t="s">
        <v>757</v>
      </c>
      <c r="G432" s="40" t="str">
        <f t="shared" si="27"/>
        <v>OK</v>
      </c>
      <c r="H432" s="40">
        <f t="shared" si="28"/>
        <v>18</v>
      </c>
      <c r="I432" s="40">
        <f t="shared" si="29"/>
        <v>295</v>
      </c>
      <c r="J432" s="40">
        <f t="shared" si="30"/>
        <v>0</v>
      </c>
      <c r="K432" s="40"/>
      <c r="L432" s="42">
        <v>1.0</v>
      </c>
      <c r="M432" s="42">
        <v>1.0</v>
      </c>
      <c r="N432" s="42">
        <v>1.0</v>
      </c>
      <c r="O432" s="42">
        <v>1.0</v>
      </c>
      <c r="P432" s="42">
        <v>0.9444</v>
      </c>
      <c r="Q432" s="42">
        <v>1.0</v>
      </c>
      <c r="R432" s="42">
        <v>1.0</v>
      </c>
      <c r="S432" s="42">
        <v>1.0</v>
      </c>
      <c r="T432" s="41">
        <v>0.8889</v>
      </c>
      <c r="U432" s="41">
        <v>1.0</v>
      </c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ht="15.75" customHeight="1">
      <c r="A433" s="37" t="s">
        <v>707</v>
      </c>
      <c r="B433" s="37" t="s">
        <v>740</v>
      </c>
      <c r="C433" s="37">
        <v>49.0</v>
      </c>
      <c r="D433" s="37">
        <v>1.5110624124E10</v>
      </c>
      <c r="E433" s="37">
        <v>2.41002024E8</v>
      </c>
      <c r="F433" s="37" t="s">
        <v>758</v>
      </c>
      <c r="G433" s="40" t="str">
        <f t="shared" si="27"/>
        <v>Pending</v>
      </c>
      <c r="H433" s="40">
        <f t="shared" si="28"/>
        <v>-42</v>
      </c>
      <c r="I433" s="40">
        <f t="shared" si="29"/>
        <v>115</v>
      </c>
      <c r="J433" s="40">
        <f t="shared" si="30"/>
        <v>125</v>
      </c>
      <c r="K433" s="40"/>
      <c r="L433" s="42">
        <v>0.0</v>
      </c>
      <c r="M433" s="42">
        <v>0.3889</v>
      </c>
      <c r="N433" s="42">
        <v>0.2778</v>
      </c>
      <c r="O433" s="42">
        <v>0.5</v>
      </c>
      <c r="P433" s="42">
        <v>0.3333</v>
      </c>
      <c r="Q433" s="42">
        <v>0.5</v>
      </c>
      <c r="R433" s="42">
        <v>0.7778</v>
      </c>
      <c r="S433" s="42">
        <v>0.2778</v>
      </c>
      <c r="T433" s="41">
        <v>0.3333</v>
      </c>
      <c r="U433" s="41">
        <v>0.4444</v>
      </c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ht="15.75" customHeight="1">
      <c r="A434" s="37" t="s">
        <v>707</v>
      </c>
      <c r="B434" s="37" t="s">
        <v>740</v>
      </c>
      <c r="C434" s="37">
        <v>50.0</v>
      </c>
      <c r="D434" s="37">
        <v>1.511062407E10</v>
      </c>
      <c r="E434" s="37">
        <v>2.41002027E8</v>
      </c>
      <c r="F434" s="37" t="s">
        <v>759</v>
      </c>
      <c r="G434" s="40" t="str">
        <f t="shared" si="27"/>
        <v>Pending</v>
      </c>
      <c r="H434" s="40">
        <f t="shared" si="28"/>
        <v>-6</v>
      </c>
      <c r="I434" s="40">
        <f t="shared" si="29"/>
        <v>223</v>
      </c>
      <c r="J434" s="40">
        <f t="shared" si="30"/>
        <v>17</v>
      </c>
      <c r="K434" s="40"/>
      <c r="L434" s="42">
        <v>0.6111</v>
      </c>
      <c r="M434" s="42">
        <v>0.7222</v>
      </c>
      <c r="N434" s="42">
        <v>0.7778</v>
      </c>
      <c r="O434" s="42">
        <v>0.7778</v>
      </c>
      <c r="P434" s="42">
        <v>0.8333</v>
      </c>
      <c r="Q434" s="42">
        <v>0.7222</v>
      </c>
      <c r="R434" s="42">
        <v>0.8333</v>
      </c>
      <c r="S434" s="42">
        <v>0.6667</v>
      </c>
      <c r="T434" s="41">
        <v>0.7778</v>
      </c>
      <c r="U434" s="41">
        <v>0.7222</v>
      </c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ht="15.75" customHeight="1">
      <c r="A435" s="37" t="s">
        <v>707</v>
      </c>
      <c r="B435" s="37" t="s">
        <v>740</v>
      </c>
      <c r="C435" s="37">
        <v>51.0</v>
      </c>
      <c r="D435" s="37">
        <v>1.511062406E10</v>
      </c>
      <c r="E435" s="37">
        <v>2.41002028E8</v>
      </c>
      <c r="F435" s="37" t="s">
        <v>760</v>
      </c>
      <c r="G435" s="40" t="str">
        <f t="shared" si="27"/>
        <v>OK</v>
      </c>
      <c r="H435" s="40">
        <f t="shared" si="28"/>
        <v>18</v>
      </c>
      <c r="I435" s="40">
        <f t="shared" si="29"/>
        <v>295</v>
      </c>
      <c r="J435" s="40">
        <f t="shared" si="30"/>
        <v>0</v>
      </c>
      <c r="K435" s="40"/>
      <c r="L435" s="42">
        <v>1.0</v>
      </c>
      <c r="M435" s="42">
        <v>1.0</v>
      </c>
      <c r="N435" s="42">
        <v>1.0</v>
      </c>
      <c r="O435" s="42">
        <v>0.9444</v>
      </c>
      <c r="P435" s="42">
        <v>0.8889</v>
      </c>
      <c r="Q435" s="42">
        <v>1.0</v>
      </c>
      <c r="R435" s="42">
        <v>1.0</v>
      </c>
      <c r="S435" s="42">
        <v>1.0</v>
      </c>
      <c r="T435" s="41">
        <v>1.0</v>
      </c>
      <c r="U435" s="41">
        <v>1.0</v>
      </c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ht="15.75" customHeight="1">
      <c r="A436" s="37" t="s">
        <v>707</v>
      </c>
      <c r="B436" s="37" t="s">
        <v>740</v>
      </c>
      <c r="C436" s="37">
        <v>52.0</v>
      </c>
      <c r="D436" s="37">
        <v>1.5110624043E10</v>
      </c>
      <c r="E436" s="37">
        <v>2.41002029E8</v>
      </c>
      <c r="F436" s="37" t="s">
        <v>761</v>
      </c>
      <c r="G436" s="40" t="str">
        <f t="shared" si="27"/>
        <v>OK</v>
      </c>
      <c r="H436" s="40">
        <f t="shared" si="28"/>
        <v>7</v>
      </c>
      <c r="I436" s="40">
        <f t="shared" si="29"/>
        <v>262</v>
      </c>
      <c r="J436" s="40">
        <f t="shared" si="30"/>
        <v>0</v>
      </c>
      <c r="K436" s="40"/>
      <c r="L436" s="42">
        <v>1.0</v>
      </c>
      <c r="M436" s="42">
        <v>1.0</v>
      </c>
      <c r="N436" s="42">
        <v>0.9444</v>
      </c>
      <c r="O436" s="42">
        <v>0.9444</v>
      </c>
      <c r="P436" s="42">
        <v>0.8889</v>
      </c>
      <c r="Q436" s="42">
        <v>0.8333</v>
      </c>
      <c r="R436" s="42">
        <v>0.8333</v>
      </c>
      <c r="S436" s="42">
        <v>0.8333</v>
      </c>
      <c r="T436" s="41">
        <v>0.6111</v>
      </c>
      <c r="U436" s="41">
        <v>0.8333</v>
      </c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ht="15.75" customHeight="1">
      <c r="A437" s="37" t="s">
        <v>707</v>
      </c>
      <c r="B437" s="37" t="s">
        <v>740</v>
      </c>
      <c r="C437" s="37">
        <v>53.0</v>
      </c>
      <c r="D437" s="37">
        <v>1.5110624086E10</v>
      </c>
      <c r="E437" s="37">
        <v>2.41002032E8</v>
      </c>
      <c r="F437" s="37" t="s">
        <v>762</v>
      </c>
      <c r="G437" s="40" t="str">
        <f t="shared" si="27"/>
        <v>OK</v>
      </c>
      <c r="H437" s="40">
        <f t="shared" si="28"/>
        <v>3</v>
      </c>
      <c r="I437" s="40">
        <f t="shared" si="29"/>
        <v>250</v>
      </c>
      <c r="J437" s="40">
        <f t="shared" si="30"/>
        <v>0</v>
      </c>
      <c r="K437" s="40"/>
      <c r="L437" s="42">
        <v>0.8333</v>
      </c>
      <c r="M437" s="42">
        <v>1.0</v>
      </c>
      <c r="N437" s="42">
        <v>0.9444</v>
      </c>
      <c r="O437" s="42">
        <v>0.9444</v>
      </c>
      <c r="P437" s="42">
        <v>0.5556</v>
      </c>
      <c r="Q437" s="42">
        <v>1.0</v>
      </c>
      <c r="R437" s="42">
        <v>0.6667</v>
      </c>
      <c r="S437" s="42">
        <v>0.8889</v>
      </c>
      <c r="T437" s="41">
        <v>0.9444</v>
      </c>
      <c r="U437" s="41">
        <v>0.5556</v>
      </c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ht="15.75" customHeight="1">
      <c r="A438" s="37" t="s">
        <v>707</v>
      </c>
      <c r="B438" s="37" t="s">
        <v>740</v>
      </c>
      <c r="C438" s="37">
        <v>54.0</v>
      </c>
      <c r="D438" s="37">
        <v>1.5110624075E10</v>
      </c>
      <c r="E438" s="37">
        <v>2.41002033E8</v>
      </c>
      <c r="F438" s="37" t="s">
        <v>763</v>
      </c>
      <c r="G438" s="40" t="str">
        <f t="shared" si="27"/>
        <v>Pending</v>
      </c>
      <c r="H438" s="40">
        <f t="shared" si="28"/>
        <v>-9</v>
      </c>
      <c r="I438" s="40">
        <f t="shared" si="29"/>
        <v>212</v>
      </c>
      <c r="J438" s="40">
        <f t="shared" si="30"/>
        <v>28</v>
      </c>
      <c r="K438" s="40"/>
      <c r="L438" s="42">
        <v>0.3889</v>
      </c>
      <c r="M438" s="42">
        <v>0.8889</v>
      </c>
      <c r="N438" s="42">
        <v>0.6667</v>
      </c>
      <c r="O438" s="42">
        <v>0.7222</v>
      </c>
      <c r="P438" s="42">
        <v>0.5556</v>
      </c>
      <c r="Q438" s="42">
        <v>0.8333</v>
      </c>
      <c r="R438" s="42">
        <v>0.8333</v>
      </c>
      <c r="S438" s="42">
        <v>0.5556</v>
      </c>
      <c r="T438" s="41">
        <v>0.7222</v>
      </c>
      <c r="U438" s="41">
        <v>0.8889</v>
      </c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ht="15.75" customHeight="1">
      <c r="A439" s="37" t="s">
        <v>707</v>
      </c>
      <c r="B439" s="37" t="s">
        <v>740</v>
      </c>
      <c r="C439" s="37">
        <v>55.0</v>
      </c>
      <c r="D439" s="37">
        <v>1.511062403E10</v>
      </c>
      <c r="E439" s="37">
        <v>2.41002034E8</v>
      </c>
      <c r="F439" s="37" t="s">
        <v>764</v>
      </c>
      <c r="G439" s="40" t="str">
        <f t="shared" si="27"/>
        <v>OK</v>
      </c>
      <c r="H439" s="40">
        <f t="shared" si="28"/>
        <v>11</v>
      </c>
      <c r="I439" s="40">
        <f t="shared" si="29"/>
        <v>272</v>
      </c>
      <c r="J439" s="40">
        <f t="shared" si="30"/>
        <v>0</v>
      </c>
      <c r="K439" s="40"/>
      <c r="L439" s="42">
        <v>1.0</v>
      </c>
      <c r="M439" s="42">
        <v>1.0</v>
      </c>
      <c r="N439" s="42">
        <v>0.7778</v>
      </c>
      <c r="O439" s="42">
        <v>1.0</v>
      </c>
      <c r="P439" s="42">
        <v>1.0</v>
      </c>
      <c r="Q439" s="42">
        <v>0.7222</v>
      </c>
      <c r="R439" s="42">
        <v>0.8889</v>
      </c>
      <c r="S439" s="42">
        <v>1.0</v>
      </c>
      <c r="T439" s="41">
        <v>0.8889</v>
      </c>
      <c r="U439" s="41">
        <v>0.7778</v>
      </c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ht="15.75" customHeight="1">
      <c r="A440" s="37" t="s">
        <v>707</v>
      </c>
      <c r="B440" s="37" t="s">
        <v>740</v>
      </c>
      <c r="C440" s="37">
        <v>56.0</v>
      </c>
      <c r="D440" s="37">
        <v>1.511062405E10</v>
      </c>
      <c r="E440" s="37">
        <v>2.41002037E8</v>
      </c>
      <c r="F440" s="37" t="s">
        <v>765</v>
      </c>
      <c r="G440" s="40" t="str">
        <f t="shared" si="27"/>
        <v>OK</v>
      </c>
      <c r="H440" s="40">
        <f t="shared" si="28"/>
        <v>3</v>
      </c>
      <c r="I440" s="40">
        <f t="shared" si="29"/>
        <v>250</v>
      </c>
      <c r="J440" s="40">
        <f t="shared" si="30"/>
        <v>0</v>
      </c>
      <c r="K440" s="40"/>
      <c r="L440" s="42">
        <v>0.3889</v>
      </c>
      <c r="M440" s="42">
        <v>1.0</v>
      </c>
      <c r="N440" s="42">
        <v>1.0</v>
      </c>
      <c r="O440" s="42">
        <v>1.0</v>
      </c>
      <c r="P440" s="42">
        <v>0.8889</v>
      </c>
      <c r="Q440" s="42">
        <v>0.9444</v>
      </c>
      <c r="R440" s="42">
        <v>0.9444</v>
      </c>
      <c r="S440" s="42">
        <v>0.6111</v>
      </c>
      <c r="T440" s="41">
        <v>0.7222</v>
      </c>
      <c r="U440" s="41">
        <v>0.8333</v>
      </c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ht="15.75" customHeight="1">
      <c r="A441" s="37" t="s">
        <v>707</v>
      </c>
      <c r="B441" s="37" t="s">
        <v>740</v>
      </c>
      <c r="C441" s="37">
        <v>57.0</v>
      </c>
      <c r="D441" s="37">
        <v>1.5110624033E10</v>
      </c>
      <c r="E441" s="37">
        <v>2.41002038E8</v>
      </c>
      <c r="F441" s="37" t="s">
        <v>766</v>
      </c>
      <c r="G441" s="40" t="str">
        <f t="shared" si="27"/>
        <v>Pending</v>
      </c>
      <c r="H441" s="40">
        <f t="shared" si="28"/>
        <v>-29</v>
      </c>
      <c r="I441" s="40">
        <f t="shared" si="29"/>
        <v>153</v>
      </c>
      <c r="J441" s="40">
        <f t="shared" si="30"/>
        <v>87</v>
      </c>
      <c r="K441" s="40"/>
      <c r="L441" s="42">
        <v>0.5556</v>
      </c>
      <c r="M441" s="42">
        <v>0.3889</v>
      </c>
      <c r="N441" s="42">
        <v>0.4444</v>
      </c>
      <c r="O441" s="42">
        <v>0.6111</v>
      </c>
      <c r="P441" s="42">
        <v>0.6667</v>
      </c>
      <c r="Q441" s="42">
        <v>0.6667</v>
      </c>
      <c r="R441" s="42">
        <v>0.5556</v>
      </c>
      <c r="S441" s="42">
        <v>0.3889</v>
      </c>
      <c r="T441" s="41">
        <v>0.3889</v>
      </c>
      <c r="U441" s="41">
        <v>0.4444</v>
      </c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ht="15.75" customHeight="1">
      <c r="A442" s="37" t="s">
        <v>707</v>
      </c>
      <c r="B442" s="37" t="s">
        <v>740</v>
      </c>
      <c r="C442" s="37">
        <v>58.0</v>
      </c>
      <c r="D442" s="37">
        <v>1.5110624032E10</v>
      </c>
      <c r="E442" s="37">
        <v>2.41002039E8</v>
      </c>
      <c r="F442" s="37" t="s">
        <v>767</v>
      </c>
      <c r="G442" s="40" t="str">
        <f t="shared" si="27"/>
        <v>OK</v>
      </c>
      <c r="H442" s="40">
        <f t="shared" si="28"/>
        <v>13</v>
      </c>
      <c r="I442" s="40">
        <f t="shared" si="29"/>
        <v>280</v>
      </c>
      <c r="J442" s="40">
        <f t="shared" si="30"/>
        <v>0</v>
      </c>
      <c r="K442" s="40"/>
      <c r="L442" s="42">
        <v>1.0</v>
      </c>
      <c r="M442" s="42">
        <v>1.0</v>
      </c>
      <c r="N442" s="42">
        <v>0.8889</v>
      </c>
      <c r="O442" s="42">
        <v>1.0</v>
      </c>
      <c r="P442" s="42">
        <v>1.0</v>
      </c>
      <c r="Q442" s="42">
        <v>1.0</v>
      </c>
      <c r="R442" s="42">
        <v>0.8333</v>
      </c>
      <c r="S442" s="42">
        <v>1.0</v>
      </c>
      <c r="T442" s="41">
        <v>1.0</v>
      </c>
      <c r="U442" s="41">
        <v>0.6111</v>
      </c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ht="15.75" customHeight="1">
      <c r="A443" s="37" t="s">
        <v>707</v>
      </c>
      <c r="B443" s="37" t="s">
        <v>740</v>
      </c>
      <c r="C443" s="37">
        <v>59.0</v>
      </c>
      <c r="D443" s="37">
        <v>1.5110624083E10</v>
      </c>
      <c r="E443" s="37">
        <v>2.4100204E8</v>
      </c>
      <c r="F443" s="37" t="s">
        <v>768</v>
      </c>
      <c r="G443" s="40" t="str">
        <f t="shared" si="27"/>
        <v>Pending</v>
      </c>
      <c r="H443" s="40">
        <f t="shared" si="28"/>
        <v>-8</v>
      </c>
      <c r="I443" s="40">
        <f t="shared" si="29"/>
        <v>217</v>
      </c>
      <c r="J443" s="40">
        <f t="shared" si="30"/>
        <v>23</v>
      </c>
      <c r="K443" s="40"/>
      <c r="L443" s="42">
        <v>0.5</v>
      </c>
      <c r="M443" s="42">
        <v>0.7778</v>
      </c>
      <c r="N443" s="42">
        <v>0.8889</v>
      </c>
      <c r="O443" s="42">
        <v>0.6667</v>
      </c>
      <c r="P443" s="42">
        <v>0.8333</v>
      </c>
      <c r="Q443" s="42">
        <v>0.8333</v>
      </c>
      <c r="R443" s="42">
        <v>0.8889</v>
      </c>
      <c r="S443" s="42">
        <v>0.2778</v>
      </c>
      <c r="T443" s="41">
        <v>0.6667</v>
      </c>
      <c r="U443" s="41">
        <v>0.8889</v>
      </c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ht="15.75" customHeight="1">
      <c r="A444" s="37" t="s">
        <v>707</v>
      </c>
      <c r="B444" s="37" t="s">
        <v>740</v>
      </c>
      <c r="C444" s="37">
        <v>60.0</v>
      </c>
      <c r="D444" s="37">
        <v>1.5110624028E10</v>
      </c>
      <c r="E444" s="37">
        <v>2.41002041E8</v>
      </c>
      <c r="F444" s="37" t="s">
        <v>769</v>
      </c>
      <c r="G444" s="40" t="str">
        <f t="shared" si="27"/>
        <v>OK</v>
      </c>
      <c r="H444" s="40">
        <f t="shared" si="28"/>
        <v>11</v>
      </c>
      <c r="I444" s="40">
        <f t="shared" si="29"/>
        <v>272</v>
      </c>
      <c r="J444" s="40">
        <f t="shared" si="30"/>
        <v>0</v>
      </c>
      <c r="K444" s="40"/>
      <c r="L444" s="42">
        <v>0.7778</v>
      </c>
      <c r="M444" s="42">
        <v>1.0</v>
      </c>
      <c r="N444" s="42">
        <v>1.0</v>
      </c>
      <c r="O444" s="42">
        <v>0.9444</v>
      </c>
      <c r="P444" s="42">
        <v>1.0</v>
      </c>
      <c r="Q444" s="42">
        <v>1.0</v>
      </c>
      <c r="R444" s="42">
        <v>0.3889</v>
      </c>
      <c r="S444" s="42">
        <v>1.0</v>
      </c>
      <c r="T444" s="41">
        <v>0.9444</v>
      </c>
      <c r="U444" s="41">
        <v>1.0</v>
      </c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ht="15.75" customHeight="1">
      <c r="A445" s="37" t="s">
        <v>707</v>
      </c>
      <c r="B445" s="37" t="s">
        <v>740</v>
      </c>
      <c r="C445" s="37">
        <v>61.0</v>
      </c>
      <c r="D445" s="37">
        <v>1.5110624112E10</v>
      </c>
      <c r="E445" s="37">
        <v>2.41002042E8</v>
      </c>
      <c r="F445" s="37" t="s">
        <v>770</v>
      </c>
      <c r="G445" s="40" t="str">
        <f t="shared" si="27"/>
        <v>OK</v>
      </c>
      <c r="H445" s="40">
        <f t="shared" si="28"/>
        <v>3</v>
      </c>
      <c r="I445" s="40">
        <f t="shared" si="29"/>
        <v>250</v>
      </c>
      <c r="J445" s="40">
        <f t="shared" si="30"/>
        <v>0</v>
      </c>
      <c r="K445" s="40"/>
      <c r="L445" s="42">
        <v>0.4444</v>
      </c>
      <c r="M445" s="42">
        <v>0.9444</v>
      </c>
      <c r="N445" s="42">
        <v>0.8889</v>
      </c>
      <c r="O445" s="42">
        <v>1.0</v>
      </c>
      <c r="P445" s="42">
        <v>1.0</v>
      </c>
      <c r="Q445" s="42">
        <v>0.7778</v>
      </c>
      <c r="R445" s="42">
        <v>1.0</v>
      </c>
      <c r="S445" s="42">
        <v>0.9444</v>
      </c>
      <c r="T445" s="41">
        <v>0.6667</v>
      </c>
      <c r="U445" s="41">
        <v>0.6667</v>
      </c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ht="15.75" customHeight="1">
      <c r="A446" s="37" t="s">
        <v>707</v>
      </c>
      <c r="B446" s="37" t="s">
        <v>740</v>
      </c>
      <c r="C446" s="37">
        <v>62.0</v>
      </c>
      <c r="D446" s="37">
        <v>1.5110624068E10</v>
      </c>
      <c r="E446" s="37">
        <v>2.41002046E8</v>
      </c>
      <c r="F446" s="37" t="s">
        <v>771</v>
      </c>
      <c r="G446" s="40" t="str">
        <f t="shared" si="27"/>
        <v>Pending</v>
      </c>
      <c r="H446" s="40">
        <f t="shared" si="28"/>
        <v>-3</v>
      </c>
      <c r="I446" s="40">
        <f t="shared" si="29"/>
        <v>230</v>
      </c>
      <c r="J446" s="40">
        <f t="shared" si="30"/>
        <v>10</v>
      </c>
      <c r="K446" s="40"/>
      <c r="L446" s="42">
        <v>0.7778</v>
      </c>
      <c r="M446" s="42">
        <v>0.8333</v>
      </c>
      <c r="N446" s="42">
        <v>0.7778</v>
      </c>
      <c r="O446" s="42">
        <v>0.8889</v>
      </c>
      <c r="P446" s="42">
        <v>0.6111</v>
      </c>
      <c r="Q446" s="42">
        <v>0.7222</v>
      </c>
      <c r="R446" s="42">
        <v>0.9444</v>
      </c>
      <c r="S446" s="42">
        <v>0.6667</v>
      </c>
      <c r="T446" s="41">
        <v>0.7778</v>
      </c>
      <c r="U446" s="41">
        <v>0.6667</v>
      </c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ht="15.75" customHeight="1">
      <c r="A447" s="37" t="s">
        <v>707</v>
      </c>
      <c r="B447" s="37" t="s">
        <v>366</v>
      </c>
      <c r="C447" s="37">
        <v>63.0</v>
      </c>
      <c r="D447" s="37">
        <v>1.5110624011E10</v>
      </c>
      <c r="E447" s="37">
        <v>2.41002047E8</v>
      </c>
      <c r="F447" s="37" t="s">
        <v>772</v>
      </c>
      <c r="G447" s="40" t="str">
        <f t="shared" si="27"/>
        <v>Pending</v>
      </c>
      <c r="H447" s="40">
        <f t="shared" si="28"/>
        <v>-18</v>
      </c>
      <c r="I447" s="40">
        <f t="shared" si="29"/>
        <v>187</v>
      </c>
      <c r="J447" s="40">
        <f t="shared" si="30"/>
        <v>53</v>
      </c>
      <c r="K447" s="40"/>
      <c r="L447" s="42">
        <v>0.1667</v>
      </c>
      <c r="M447" s="42">
        <v>0.5556</v>
      </c>
      <c r="N447" s="42">
        <v>0.8333</v>
      </c>
      <c r="O447" s="42">
        <v>0.6667</v>
      </c>
      <c r="P447" s="42">
        <v>0.6667</v>
      </c>
      <c r="Q447" s="42">
        <v>0.5556</v>
      </c>
      <c r="R447" s="42">
        <v>0.5556</v>
      </c>
      <c r="S447" s="42">
        <v>0.8333</v>
      </c>
      <c r="T447" s="41">
        <v>0.7778</v>
      </c>
      <c r="U447" s="41">
        <v>0.6111</v>
      </c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ht="15.75" customHeight="1">
      <c r="A448" s="37" t="s">
        <v>707</v>
      </c>
      <c r="B448" s="37" t="s">
        <v>366</v>
      </c>
      <c r="C448" s="37">
        <v>64.0</v>
      </c>
      <c r="D448" s="37">
        <v>1.5110624158E10</v>
      </c>
      <c r="E448" s="37">
        <v>2.41002049E8</v>
      </c>
      <c r="F448" s="37" t="s">
        <v>773</v>
      </c>
      <c r="G448" s="40" t="str">
        <f t="shared" si="27"/>
        <v>Pending</v>
      </c>
      <c r="H448" s="40">
        <f t="shared" si="28"/>
        <v>-7</v>
      </c>
      <c r="I448" s="40">
        <f t="shared" si="29"/>
        <v>218</v>
      </c>
      <c r="J448" s="40">
        <f t="shared" si="30"/>
        <v>22</v>
      </c>
      <c r="K448" s="40"/>
      <c r="L448" s="42">
        <v>0.9444</v>
      </c>
      <c r="M448" s="42">
        <v>0.6111</v>
      </c>
      <c r="N448" s="42">
        <v>0.9444</v>
      </c>
      <c r="O448" s="42">
        <v>0.6111</v>
      </c>
      <c r="P448" s="42">
        <v>0.8333</v>
      </c>
      <c r="Q448" s="42">
        <v>0.5556</v>
      </c>
      <c r="R448" s="42">
        <v>0.6111</v>
      </c>
      <c r="S448" s="42">
        <v>0.8889</v>
      </c>
      <c r="T448" s="41">
        <v>0.9444</v>
      </c>
      <c r="U448" s="41">
        <v>0.3333</v>
      </c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ht="15.75" customHeight="1">
      <c r="A449" s="37" t="s">
        <v>707</v>
      </c>
      <c r="B449" s="37" t="s">
        <v>366</v>
      </c>
      <c r="C449" s="37">
        <v>65.0</v>
      </c>
      <c r="D449" s="37">
        <v>1.5110624092E10</v>
      </c>
      <c r="E449" s="37">
        <v>2.4100205E8</v>
      </c>
      <c r="F449" s="37" t="s">
        <v>774</v>
      </c>
      <c r="G449" s="40" t="str">
        <f t="shared" si="27"/>
        <v>OK</v>
      </c>
      <c r="H449" s="40">
        <f t="shared" si="28"/>
        <v>18</v>
      </c>
      <c r="I449" s="40">
        <f t="shared" si="29"/>
        <v>295</v>
      </c>
      <c r="J449" s="40">
        <f t="shared" si="30"/>
        <v>0</v>
      </c>
      <c r="K449" s="40"/>
      <c r="L449" s="42">
        <v>1.0</v>
      </c>
      <c r="M449" s="42">
        <v>1.0</v>
      </c>
      <c r="N449" s="42">
        <v>1.0</v>
      </c>
      <c r="O449" s="42">
        <v>1.0</v>
      </c>
      <c r="P449" s="42">
        <v>0.9444</v>
      </c>
      <c r="Q449" s="42">
        <v>0.9444</v>
      </c>
      <c r="R449" s="42">
        <v>1.0</v>
      </c>
      <c r="S449" s="42">
        <v>0.9444</v>
      </c>
      <c r="T449" s="41">
        <v>1.0</v>
      </c>
      <c r="U449" s="41">
        <v>1.0</v>
      </c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ht="15.75" customHeight="1">
      <c r="A450" s="37" t="s">
        <v>707</v>
      </c>
      <c r="B450" s="37" t="s">
        <v>366</v>
      </c>
      <c r="C450" s="37">
        <v>66.0</v>
      </c>
      <c r="D450" s="37">
        <v>1.5110624119E10</v>
      </c>
      <c r="E450" s="37">
        <v>2.41002051E8</v>
      </c>
      <c r="F450" s="37" t="s">
        <v>775</v>
      </c>
      <c r="G450" s="40" t="str">
        <f t="shared" si="27"/>
        <v>OK</v>
      </c>
      <c r="H450" s="40">
        <f t="shared" si="28"/>
        <v>2</v>
      </c>
      <c r="I450" s="40">
        <f t="shared" si="29"/>
        <v>247</v>
      </c>
      <c r="J450" s="40">
        <f t="shared" si="30"/>
        <v>0</v>
      </c>
      <c r="K450" s="40"/>
      <c r="L450" s="42">
        <v>0.0</v>
      </c>
      <c r="M450" s="42">
        <v>1.0</v>
      </c>
      <c r="N450" s="42">
        <v>0.5556</v>
      </c>
      <c r="O450" s="42">
        <v>1.0</v>
      </c>
      <c r="P450" s="42">
        <v>0.9444</v>
      </c>
      <c r="Q450" s="42">
        <v>0.8333</v>
      </c>
      <c r="R450" s="42">
        <v>1.0</v>
      </c>
      <c r="S450" s="42">
        <v>0.8889</v>
      </c>
      <c r="T450" s="41">
        <v>1.0</v>
      </c>
      <c r="U450" s="41">
        <v>1.0</v>
      </c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ht="15.75" customHeight="1">
      <c r="A451" s="37" t="s">
        <v>707</v>
      </c>
      <c r="B451" s="37" t="s">
        <v>366</v>
      </c>
      <c r="C451" s="37">
        <v>67.0</v>
      </c>
      <c r="D451" s="37">
        <v>1.5110624084E10</v>
      </c>
      <c r="E451" s="37">
        <v>2.41002052E8</v>
      </c>
      <c r="F451" s="37" t="s">
        <v>776</v>
      </c>
      <c r="G451" s="40" t="str">
        <f t="shared" si="27"/>
        <v>OK</v>
      </c>
      <c r="H451" s="40">
        <f t="shared" si="28"/>
        <v>18</v>
      </c>
      <c r="I451" s="40">
        <f t="shared" si="29"/>
        <v>295</v>
      </c>
      <c r="J451" s="40">
        <f t="shared" si="30"/>
        <v>0</v>
      </c>
      <c r="K451" s="40"/>
      <c r="L451" s="42">
        <v>0.9444</v>
      </c>
      <c r="M451" s="42">
        <v>0.9444</v>
      </c>
      <c r="N451" s="42">
        <v>1.0</v>
      </c>
      <c r="O451" s="42">
        <v>1.0</v>
      </c>
      <c r="P451" s="42">
        <v>1.0</v>
      </c>
      <c r="Q451" s="42">
        <v>1.0</v>
      </c>
      <c r="R451" s="42">
        <v>0.9444</v>
      </c>
      <c r="S451" s="42">
        <v>1.0</v>
      </c>
      <c r="T451" s="41">
        <v>1.0</v>
      </c>
      <c r="U451" s="41">
        <v>1.0</v>
      </c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ht="15.75" customHeight="1">
      <c r="A452" s="37" t="s">
        <v>707</v>
      </c>
      <c r="B452" s="37" t="s">
        <v>366</v>
      </c>
      <c r="C452" s="37">
        <v>68.0</v>
      </c>
      <c r="D452" s="37">
        <v>1.5110624085E10</v>
      </c>
      <c r="E452" s="37">
        <v>2.41002054E8</v>
      </c>
      <c r="F452" s="37" t="s">
        <v>777</v>
      </c>
      <c r="G452" s="40" t="str">
        <f t="shared" si="27"/>
        <v>Pending</v>
      </c>
      <c r="H452" s="40">
        <f t="shared" si="28"/>
        <v>-3</v>
      </c>
      <c r="I452" s="40">
        <f t="shared" si="29"/>
        <v>232</v>
      </c>
      <c r="J452" s="40">
        <f t="shared" si="30"/>
        <v>8</v>
      </c>
      <c r="K452" s="40"/>
      <c r="L452" s="42">
        <v>0.9444</v>
      </c>
      <c r="M452" s="42">
        <v>0.6667</v>
      </c>
      <c r="N452" s="42">
        <v>0.7778</v>
      </c>
      <c r="O452" s="42">
        <v>0.9444</v>
      </c>
      <c r="P452" s="42">
        <v>0.8889</v>
      </c>
      <c r="Q452" s="42">
        <v>0.6111</v>
      </c>
      <c r="R452" s="42">
        <v>0.6667</v>
      </c>
      <c r="S452" s="42">
        <v>0.8889</v>
      </c>
      <c r="T452" s="41">
        <v>0.6667</v>
      </c>
      <c r="U452" s="41">
        <v>0.6667</v>
      </c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ht="15.75" customHeight="1">
      <c r="A453" s="37" t="s">
        <v>707</v>
      </c>
      <c r="B453" s="37" t="s">
        <v>366</v>
      </c>
      <c r="C453" s="37">
        <v>69.0</v>
      </c>
      <c r="D453" s="37">
        <v>1.5110624108E10</v>
      </c>
      <c r="E453" s="37">
        <v>2.41002057E8</v>
      </c>
      <c r="F453" s="37" t="s">
        <v>778</v>
      </c>
      <c r="G453" s="40" t="str">
        <f t="shared" si="27"/>
        <v>Pending</v>
      </c>
      <c r="H453" s="40">
        <f t="shared" si="28"/>
        <v>-2</v>
      </c>
      <c r="I453" s="40">
        <f t="shared" si="29"/>
        <v>235</v>
      </c>
      <c r="J453" s="40">
        <f t="shared" si="30"/>
        <v>5</v>
      </c>
      <c r="K453" s="40"/>
      <c r="L453" s="42">
        <v>0.0556</v>
      </c>
      <c r="M453" s="42">
        <v>0.5556</v>
      </c>
      <c r="N453" s="42">
        <v>0.8889</v>
      </c>
      <c r="O453" s="42">
        <v>0.8333</v>
      </c>
      <c r="P453" s="42">
        <v>0.7778</v>
      </c>
      <c r="Q453" s="42">
        <v>1.0</v>
      </c>
      <c r="R453" s="42">
        <v>0.8889</v>
      </c>
      <c r="S453" s="42">
        <v>0.8889</v>
      </c>
      <c r="T453" s="41">
        <v>0.9444</v>
      </c>
      <c r="U453" s="41">
        <v>1.0</v>
      </c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ht="15.75" customHeight="1">
      <c r="A454" s="37" t="s">
        <v>707</v>
      </c>
      <c r="B454" s="37" t="s">
        <v>366</v>
      </c>
      <c r="C454" s="37">
        <v>70.0</v>
      </c>
      <c r="D454" s="37">
        <v>1.511062408E10</v>
      </c>
      <c r="E454" s="37">
        <v>2.41002058E8</v>
      </c>
      <c r="F454" s="37" t="s">
        <v>779</v>
      </c>
      <c r="G454" s="40" t="str">
        <f t="shared" si="27"/>
        <v>Pending</v>
      </c>
      <c r="H454" s="40">
        <f t="shared" si="28"/>
        <v>-14</v>
      </c>
      <c r="I454" s="40">
        <f t="shared" si="29"/>
        <v>198</v>
      </c>
      <c r="J454" s="40">
        <f t="shared" si="30"/>
        <v>42</v>
      </c>
      <c r="K454" s="40"/>
      <c r="L454" s="42">
        <v>0.5</v>
      </c>
      <c r="M454" s="42">
        <v>0.6667</v>
      </c>
      <c r="N454" s="42">
        <v>0.8889</v>
      </c>
      <c r="O454" s="42">
        <v>0.6111</v>
      </c>
      <c r="P454" s="42">
        <v>0.5556</v>
      </c>
      <c r="Q454" s="42">
        <v>0.8889</v>
      </c>
      <c r="R454" s="42">
        <v>0.7778</v>
      </c>
      <c r="S454" s="42">
        <v>0.1667</v>
      </c>
      <c r="T454" s="41">
        <v>0.6111</v>
      </c>
      <c r="U454" s="41">
        <v>0.9444</v>
      </c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ht="15.75" customHeight="1">
      <c r="A455" s="37" t="s">
        <v>707</v>
      </c>
      <c r="B455" s="37" t="s">
        <v>366</v>
      </c>
      <c r="C455" s="37">
        <v>71.0</v>
      </c>
      <c r="D455" s="37">
        <v>1.5110624081E10</v>
      </c>
      <c r="E455" s="37">
        <v>2.41002059E8</v>
      </c>
      <c r="F455" s="37" t="s">
        <v>780</v>
      </c>
      <c r="G455" s="40" t="str">
        <f t="shared" si="27"/>
        <v>Pending</v>
      </c>
      <c r="H455" s="40">
        <f t="shared" si="28"/>
        <v>-16</v>
      </c>
      <c r="I455" s="40">
        <f t="shared" si="29"/>
        <v>192</v>
      </c>
      <c r="J455" s="40">
        <f t="shared" si="30"/>
        <v>48</v>
      </c>
      <c r="K455" s="40"/>
      <c r="L455" s="42">
        <v>0.2778</v>
      </c>
      <c r="M455" s="42">
        <v>0.6667</v>
      </c>
      <c r="N455" s="42">
        <v>0.8889</v>
      </c>
      <c r="O455" s="42">
        <v>0.6111</v>
      </c>
      <c r="P455" s="42">
        <v>0.5556</v>
      </c>
      <c r="Q455" s="42">
        <v>0.8889</v>
      </c>
      <c r="R455" s="42">
        <v>0.7778</v>
      </c>
      <c r="S455" s="42">
        <v>0.1667</v>
      </c>
      <c r="T455" s="41">
        <v>0.6667</v>
      </c>
      <c r="U455" s="41">
        <v>0.8889</v>
      </c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ht="15.75" customHeight="1">
      <c r="A456" s="37" t="s">
        <v>707</v>
      </c>
      <c r="B456" s="37" t="s">
        <v>366</v>
      </c>
      <c r="C456" s="37">
        <v>72.0</v>
      </c>
      <c r="D456" s="37">
        <v>1.5110624188E10</v>
      </c>
      <c r="E456" s="37">
        <v>2.42002002E8</v>
      </c>
      <c r="F456" s="37" t="s">
        <v>781</v>
      </c>
      <c r="G456" s="40" t="str">
        <f t="shared" si="27"/>
        <v>Pending</v>
      </c>
      <c r="H456" s="40">
        <f t="shared" si="28"/>
        <v>-2</v>
      </c>
      <c r="I456" s="40">
        <f t="shared" si="29"/>
        <v>233</v>
      </c>
      <c r="J456" s="40">
        <f t="shared" si="30"/>
        <v>7</v>
      </c>
      <c r="K456" s="40"/>
      <c r="L456" s="42">
        <v>0.6111</v>
      </c>
      <c r="M456" s="42">
        <v>0.7222</v>
      </c>
      <c r="N456" s="42">
        <v>1.0</v>
      </c>
      <c r="O456" s="42">
        <v>0.7222</v>
      </c>
      <c r="P456" s="42">
        <v>0.6111</v>
      </c>
      <c r="Q456" s="42">
        <v>1.0</v>
      </c>
      <c r="R456" s="42">
        <v>0.8333</v>
      </c>
      <c r="S456" s="42">
        <v>0.4444</v>
      </c>
      <c r="T456" s="41">
        <v>0.8889</v>
      </c>
      <c r="U456" s="41">
        <v>0.9444</v>
      </c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ht="15.75" customHeight="1">
      <c r="A457" s="37" t="s">
        <v>707</v>
      </c>
      <c r="B457" s="37" t="s">
        <v>366</v>
      </c>
      <c r="C457" s="37">
        <v>73.0</v>
      </c>
      <c r="D457" s="37">
        <v>1.5110624191E10</v>
      </c>
      <c r="E457" s="37">
        <v>2.42002004E8</v>
      </c>
      <c r="F457" s="37" t="s">
        <v>782</v>
      </c>
      <c r="G457" s="40" t="str">
        <f t="shared" si="27"/>
        <v>Pending</v>
      </c>
      <c r="H457" s="40">
        <f t="shared" si="28"/>
        <v>-7</v>
      </c>
      <c r="I457" s="40">
        <f t="shared" si="29"/>
        <v>218</v>
      </c>
      <c r="J457" s="40">
        <f t="shared" si="30"/>
        <v>22</v>
      </c>
      <c r="K457" s="40"/>
      <c r="L457" s="42">
        <v>0.6111</v>
      </c>
      <c r="M457" s="42">
        <v>1.0</v>
      </c>
      <c r="N457" s="42">
        <v>0.9444</v>
      </c>
      <c r="O457" s="42">
        <v>0.9444</v>
      </c>
      <c r="P457" s="42">
        <v>0.5556</v>
      </c>
      <c r="Q457" s="42">
        <v>0.7222</v>
      </c>
      <c r="R457" s="42">
        <v>0.5556</v>
      </c>
      <c r="S457" s="42">
        <v>0.8889</v>
      </c>
      <c r="T457" s="41">
        <v>0.6111</v>
      </c>
      <c r="U457" s="41">
        <v>0.4444</v>
      </c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ht="15.75" customHeight="1">
      <c r="A458" s="85"/>
      <c r="B458" s="85"/>
      <c r="C458" s="85"/>
      <c r="D458" s="85"/>
      <c r="E458" s="85"/>
      <c r="F458" s="85">
        <f>counta(F322:F457)</f>
        <v>135</v>
      </c>
      <c r="G458" s="86" t="str">
        <f t="shared" si="27"/>
        <v>Pending</v>
      </c>
      <c r="H458" s="86">
        <f t="shared" si="28"/>
        <v>-2</v>
      </c>
      <c r="I458" s="86">
        <f t="shared" si="29"/>
        <v>235</v>
      </c>
      <c r="J458" s="86">
        <f t="shared" si="30"/>
        <v>5</v>
      </c>
      <c r="K458" s="86"/>
      <c r="L458" s="87">
        <f t="shared" ref="L458:Z458" si="31">SUM(L322:L457)/$F$458</f>
        <v>0.6592592593</v>
      </c>
      <c r="M458" s="87">
        <f t="shared" si="31"/>
        <v>0.8382711111</v>
      </c>
      <c r="N458" s="87">
        <f t="shared" si="31"/>
        <v>0.8053488889</v>
      </c>
      <c r="O458" s="87">
        <f t="shared" si="31"/>
        <v>0.8197488889</v>
      </c>
      <c r="P458" s="87">
        <f t="shared" si="31"/>
        <v>0.8172822222</v>
      </c>
      <c r="Q458" s="87">
        <f t="shared" si="31"/>
        <v>0.802462963</v>
      </c>
      <c r="R458" s="87">
        <f t="shared" si="31"/>
        <v>0.8390888889</v>
      </c>
      <c r="S458" s="87">
        <f t="shared" si="31"/>
        <v>0.7571977778</v>
      </c>
      <c r="T458" s="87">
        <f t="shared" si="31"/>
        <v>0.7736585185</v>
      </c>
      <c r="U458" s="87">
        <f t="shared" si="31"/>
        <v>0.7119311111</v>
      </c>
      <c r="V458" s="87">
        <f t="shared" si="31"/>
        <v>0</v>
      </c>
      <c r="W458" s="87">
        <f t="shared" si="31"/>
        <v>0</v>
      </c>
      <c r="X458" s="87">
        <f t="shared" si="31"/>
        <v>0</v>
      </c>
      <c r="Y458" s="87">
        <f t="shared" si="31"/>
        <v>0</v>
      </c>
      <c r="Z458" s="87">
        <f t="shared" si="31"/>
        <v>0</v>
      </c>
      <c r="AA458" s="88"/>
      <c r="AB458" s="88"/>
      <c r="AC458" s="88"/>
      <c r="AD458" s="88"/>
      <c r="AE458" s="8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</row>
    <row r="1001" ht="15.75" customHeight="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</row>
    <row r="1002" ht="15.75" customHeight="1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</row>
    <row r="1003" ht="15.75" customHeight="1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</row>
    <row r="1004" ht="15.75" customHeight="1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</row>
    <row r="1005" ht="15.75" customHeight="1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</row>
    <row r="1006" ht="15.75" customHeight="1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</row>
    <row r="1007" ht="15.75" customHeight="1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</row>
    <row r="1008" ht="15.75" customHeight="1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</row>
    <row r="1009" ht="15.75" customHeight="1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</row>
  </sheetData>
  <mergeCells count="6">
    <mergeCell ref="A1:O1"/>
    <mergeCell ref="A2:O2"/>
    <mergeCell ref="A3:O3"/>
    <mergeCell ref="A4:O4"/>
    <mergeCell ref="A166:G166"/>
    <mergeCell ref="A320:G320"/>
  </mergeCells>
  <conditionalFormatting sqref="F7:F165 F167:F319 F321:F460">
    <cfRule type="expression" dxfId="0" priority="1">
      <formula>AND(H7&lt;0,K7&gt;=J7)</formula>
    </cfRule>
  </conditionalFormatting>
  <conditionalFormatting sqref="F7:F165 F167:F319 F321:F460">
    <cfRule type="expression" dxfId="1" priority="2">
      <formula>AND(H7&lt;0,K7&lt;J7)</formula>
    </cfRule>
  </conditionalFormatting>
  <conditionalFormatting sqref="F7:F165 F167:F319 F321:F460">
    <cfRule type="expression" dxfId="2" priority="3">
      <formula>H7&gt;=0</formula>
    </cfRule>
  </conditionalFormatting>
  <conditionalFormatting sqref="G7:G165 G167:G319 G321:G459">
    <cfRule type="expression" dxfId="0" priority="4">
      <formula>AND(H7&lt;0,K7&gt;=J7)</formula>
    </cfRule>
  </conditionalFormatting>
  <conditionalFormatting sqref="G7:G165 G167:G319 G321:G459">
    <cfRule type="expression" dxfId="3" priority="5">
      <formula>AND(H7&lt;0,K7&lt;J7)</formula>
    </cfRule>
  </conditionalFormatting>
  <conditionalFormatting sqref="G7:G165 G167:G319 G321:G459">
    <cfRule type="expression" dxfId="4" priority="6">
      <formula>H7&gt;=0</formula>
    </cfRule>
  </conditionalFormatting>
  <conditionalFormatting sqref="H7:H459">
    <cfRule type="cellIs" dxfId="1" priority="7" operator="lessThanOrEqual">
      <formula>-0.01</formula>
    </cfRule>
  </conditionalFormatting>
  <conditionalFormatting sqref="H7:H459">
    <cfRule type="cellIs" dxfId="9" priority="8" operator="equal">
      <formula>0</formula>
    </cfRule>
  </conditionalFormatting>
  <conditionalFormatting sqref="I7:I459">
    <cfRule type="expression" dxfId="0" priority="9">
      <formula>J7=0</formula>
    </cfRule>
  </conditionalFormatting>
  <conditionalFormatting sqref="I7:I459">
    <cfRule type="expression" dxfId="1" priority="10">
      <formula>J7&gt;0</formula>
    </cfRule>
  </conditionalFormatting>
  <conditionalFormatting sqref="J7:J459">
    <cfRule type="cellIs" dxfId="0" priority="11" operator="equal">
      <formula>0</formula>
    </cfRule>
  </conditionalFormatting>
  <conditionalFormatting sqref="J7:J459">
    <cfRule type="cellIs" dxfId="1" priority="12" operator="greaterThan">
      <formula>0</formula>
    </cfRule>
  </conditionalFormatting>
  <conditionalFormatting sqref="K7:K459">
    <cfRule type="expression" dxfId="0" priority="13">
      <formula>J7=0</formula>
    </cfRule>
  </conditionalFormatting>
  <conditionalFormatting sqref="K7:K458">
    <cfRule type="expression" dxfId="1" priority="14">
      <formula>and(J7&gt;0,J7&gt;K7)</formula>
    </cfRule>
  </conditionalFormatting>
  <conditionalFormatting sqref="K7:K459">
    <cfRule type="expression" dxfId="2" priority="15">
      <formula>or(J7=K7)</formula>
    </cfRule>
  </conditionalFormatting>
  <conditionalFormatting sqref="L7:Z459">
    <cfRule type="cellIs" dxfId="0" priority="16" operator="greaterThanOrEqual">
      <formula>"80.01%"</formula>
    </cfRule>
  </conditionalFormatting>
  <conditionalFormatting sqref="L7:Z459">
    <cfRule type="cellIs" dxfId="1" priority="17" operator="lessThanOrEqual">
      <formula>"79.99%"</formula>
    </cfRule>
  </conditionalFormatting>
  <conditionalFormatting sqref="L7:Z459">
    <cfRule type="cellIs" dxfId="6" priority="18" operator="equal">
      <formula>"80%"</formula>
    </cfRule>
  </conditionalFormatting>
  <conditionalFormatting sqref="H7:H459">
    <cfRule type="cellIs" dxfId="0" priority="19" operator="greaterThanOrEqual">
      <formula>0.01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31" width="9.14"/>
  </cols>
  <sheetData>
    <row r="1" ht="18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8.75" customHeight="1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18.75" customHeight="1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6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18.75" customHeight="1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4"/>
      <c r="Q4" s="14"/>
      <c r="R4" s="14"/>
      <c r="S4" s="1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>
        <v>1.0</v>
      </c>
      <c r="R5" s="20">
        <v>1.0</v>
      </c>
      <c r="S5" s="20">
        <v>1.0</v>
      </c>
      <c r="T5" s="23">
        <v>1.0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5"/>
      <c r="AB5" s="27"/>
      <c r="AC5" s="27"/>
      <c r="AD5" s="27"/>
      <c r="AE5" s="27"/>
    </row>
    <row r="6">
      <c r="A6" s="29" t="s">
        <v>6</v>
      </c>
      <c r="B6" s="29" t="s">
        <v>7</v>
      </c>
      <c r="C6" s="29" t="s">
        <v>8</v>
      </c>
      <c r="D6" s="29" t="s">
        <v>9</v>
      </c>
      <c r="E6" s="29" t="s">
        <v>10</v>
      </c>
      <c r="F6" s="29" t="s">
        <v>11</v>
      </c>
      <c r="G6" s="31" t="s">
        <v>12</v>
      </c>
      <c r="H6" s="33" t="s">
        <v>13</v>
      </c>
      <c r="I6" s="33" t="s">
        <v>14</v>
      </c>
      <c r="J6" s="33" t="s">
        <v>15</v>
      </c>
      <c r="K6" s="33" t="s">
        <v>16</v>
      </c>
      <c r="L6" s="20" t="s">
        <v>17</v>
      </c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0" t="s">
        <v>25</v>
      </c>
      <c r="U6" s="20" t="s">
        <v>26</v>
      </c>
      <c r="V6" s="20" t="s">
        <v>27</v>
      </c>
      <c r="W6" s="20" t="s">
        <v>28</v>
      </c>
      <c r="X6" s="20" t="s">
        <v>29</v>
      </c>
      <c r="Y6" s="20" t="s">
        <v>30</v>
      </c>
      <c r="Z6" s="20" t="s">
        <v>31</v>
      </c>
      <c r="AA6" s="25"/>
      <c r="AB6" s="27"/>
      <c r="AC6" s="27"/>
      <c r="AD6" s="27"/>
      <c r="AE6" s="27"/>
    </row>
    <row r="7">
      <c r="A7" s="37" t="s">
        <v>35</v>
      </c>
      <c r="B7" s="37" t="s">
        <v>38</v>
      </c>
      <c r="C7" s="37">
        <v>1.0</v>
      </c>
      <c r="D7" s="37">
        <v>1.5121525006E10</v>
      </c>
      <c r="E7" s="37">
        <v>2.50010001E8</v>
      </c>
      <c r="F7" s="37" t="s">
        <v>39</v>
      </c>
      <c r="G7" s="42" t="str">
        <f t="shared" ref="G7:G27" si="1">IF(H7&gt;=0,"OK",IF(K7&gt;=J7,"Completed","Pending"))</f>
        <v>OK</v>
      </c>
      <c r="H7" s="43">
        <f t="shared" ref="H7:H27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17</v>
      </c>
      <c r="I7" s="43">
        <f t="shared" ref="I7:I27" si="3">round(30*((L7*$L$5)+(M7*$M$5)+(N7*$N$5)+(O7*$O$5)+(P7*$P$5)+(Q7*$Q$5)+(R7*$R$5)+(S7*$S$5)+(T7*$T$5)+(U7*$U$5)+(V7*$V$5)+(W7*$W$5)+(X7*$X$5)+(Y7*$Y$5)+(Z7*$Z$5)+(AA7*$AA$5)),0)</f>
        <v>263</v>
      </c>
      <c r="J7" s="43">
        <f t="shared" ref="J7:J27" si="4">if(I7&lt;(24*($L$5+$M$5+$N$5+$O$5+$P$5+$Q$5+$R$5+$S$5+$T$5+$V$5+$U$5+$W$5+$X$5+$Y$5+$Z$5+$AA$5)),abs(I7-(24*($L$5+$M$5+$N$5+$O$5+$P$5+$Q$5+$R$5+$S$5+$T$5+$V$5+$U$5+$W$5+$X$5+$Y$5+$Z$5+$AA$5))),0)</f>
        <v>0</v>
      </c>
      <c r="K7" s="42"/>
      <c r="L7" s="42">
        <v>1.0</v>
      </c>
      <c r="M7" s="42">
        <v>1.0</v>
      </c>
      <c r="N7" s="42">
        <v>1.0</v>
      </c>
      <c r="O7" s="42">
        <v>1.0</v>
      </c>
      <c r="P7" s="42">
        <v>1.0</v>
      </c>
      <c r="Q7" s="42">
        <v>1.0</v>
      </c>
      <c r="R7" s="42">
        <v>1.0</v>
      </c>
      <c r="S7" s="42">
        <v>1.0</v>
      </c>
      <c r="T7" s="41">
        <v>0.7619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37" t="s">
        <v>35</v>
      </c>
      <c r="B8" s="37" t="s">
        <v>38</v>
      </c>
      <c r="C8" s="37">
        <v>2.0</v>
      </c>
      <c r="D8" s="37">
        <v>1.5121525005E10</v>
      </c>
      <c r="E8" s="37">
        <v>2.50010002E8</v>
      </c>
      <c r="F8" s="37" t="s">
        <v>41</v>
      </c>
      <c r="G8" s="42" t="str">
        <f t="shared" si="1"/>
        <v>OK</v>
      </c>
      <c r="H8" s="43">
        <f t="shared" si="2"/>
        <v>14</v>
      </c>
      <c r="I8" s="43">
        <f t="shared" si="3"/>
        <v>253</v>
      </c>
      <c r="J8" s="43">
        <f t="shared" si="4"/>
        <v>0</v>
      </c>
      <c r="K8" s="42"/>
      <c r="L8" s="42">
        <v>0.7619</v>
      </c>
      <c r="M8" s="42">
        <v>1.0</v>
      </c>
      <c r="N8" s="42">
        <v>1.0</v>
      </c>
      <c r="O8" s="42">
        <v>1.0</v>
      </c>
      <c r="P8" s="42">
        <v>1.0</v>
      </c>
      <c r="Q8" s="42">
        <v>0.8571</v>
      </c>
      <c r="R8" s="42">
        <v>0.9524</v>
      </c>
      <c r="S8" s="42">
        <v>0.9524</v>
      </c>
      <c r="T8" s="41">
        <v>0.9048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37" t="s">
        <v>35</v>
      </c>
      <c r="B9" s="37" t="s">
        <v>38</v>
      </c>
      <c r="C9" s="37">
        <v>3.0</v>
      </c>
      <c r="D9" s="37">
        <v>1.5121526036E10</v>
      </c>
      <c r="E9" s="40"/>
      <c r="F9" s="37" t="s">
        <v>44</v>
      </c>
      <c r="G9" s="42" t="str">
        <f t="shared" si="1"/>
        <v>Pending</v>
      </c>
      <c r="H9" s="43">
        <f t="shared" si="2"/>
        <v>-13</v>
      </c>
      <c r="I9" s="43">
        <f t="shared" si="3"/>
        <v>180</v>
      </c>
      <c r="J9" s="43">
        <f t="shared" si="4"/>
        <v>36</v>
      </c>
      <c r="K9" s="42"/>
      <c r="L9" s="42">
        <v>0.0</v>
      </c>
      <c r="M9" s="42">
        <v>0.0</v>
      </c>
      <c r="N9" s="42">
        <v>0.0</v>
      </c>
      <c r="O9" s="42">
        <v>1.0</v>
      </c>
      <c r="P9" s="42">
        <v>1.0</v>
      </c>
      <c r="Q9" s="42">
        <v>1.0</v>
      </c>
      <c r="R9" s="42">
        <v>1.0</v>
      </c>
      <c r="S9" s="42">
        <v>1.0</v>
      </c>
      <c r="T9" s="41">
        <v>1.0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37" t="s">
        <v>35</v>
      </c>
      <c r="B10" s="37" t="s">
        <v>38</v>
      </c>
      <c r="C10" s="37">
        <v>4.0</v>
      </c>
      <c r="D10" s="37">
        <v>1.5121525002E10</v>
      </c>
      <c r="E10" s="37">
        <v>2.50010004E8</v>
      </c>
      <c r="F10" s="37" t="s">
        <v>47</v>
      </c>
      <c r="G10" s="42" t="str">
        <f t="shared" si="1"/>
        <v>OK</v>
      </c>
      <c r="H10" s="43">
        <f t="shared" si="2"/>
        <v>16</v>
      </c>
      <c r="I10" s="43">
        <f t="shared" si="3"/>
        <v>259</v>
      </c>
      <c r="J10" s="43">
        <f t="shared" si="4"/>
        <v>0</v>
      </c>
      <c r="K10" s="42"/>
      <c r="L10" s="42">
        <v>1.0</v>
      </c>
      <c r="M10" s="42">
        <v>1.0</v>
      </c>
      <c r="N10" s="42">
        <v>0.9545</v>
      </c>
      <c r="O10" s="42">
        <v>0.8571</v>
      </c>
      <c r="P10" s="42">
        <v>1.0</v>
      </c>
      <c r="Q10" s="42">
        <v>1.0</v>
      </c>
      <c r="R10" s="42">
        <v>1.0</v>
      </c>
      <c r="S10" s="42">
        <v>1.0</v>
      </c>
      <c r="T10" s="41">
        <v>0.8095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37" t="s">
        <v>35</v>
      </c>
      <c r="B11" s="37" t="s">
        <v>38</v>
      </c>
      <c r="C11" s="37">
        <v>7.0</v>
      </c>
      <c r="D11" s="37">
        <v>1.5121526012E10</v>
      </c>
      <c r="E11" s="40"/>
      <c r="F11" s="37" t="s">
        <v>50</v>
      </c>
      <c r="G11" s="42" t="str">
        <f t="shared" si="1"/>
        <v>OK</v>
      </c>
      <c r="H11" s="43">
        <f t="shared" si="2"/>
        <v>14</v>
      </c>
      <c r="I11" s="43">
        <f t="shared" si="3"/>
        <v>254</v>
      </c>
      <c r="J11" s="43">
        <f t="shared" si="4"/>
        <v>0</v>
      </c>
      <c r="K11" s="42"/>
      <c r="L11" s="42">
        <v>0.7857</v>
      </c>
      <c r="M11" s="42">
        <v>0.8235</v>
      </c>
      <c r="N11" s="42">
        <v>0.9545</v>
      </c>
      <c r="O11" s="42">
        <v>1.0</v>
      </c>
      <c r="P11" s="42">
        <v>0.9524</v>
      </c>
      <c r="Q11" s="42">
        <v>1.0</v>
      </c>
      <c r="R11" s="42">
        <v>1.0</v>
      </c>
      <c r="S11" s="42">
        <v>1.0</v>
      </c>
      <c r="T11" s="41">
        <v>0.9524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37" t="s">
        <v>35</v>
      </c>
      <c r="B12" s="37" t="s">
        <v>38</v>
      </c>
      <c r="C12" s="37">
        <v>8.0</v>
      </c>
      <c r="D12" s="37">
        <v>1.5121526037E10</v>
      </c>
      <c r="E12" s="40"/>
      <c r="F12" s="37" t="s">
        <v>54</v>
      </c>
      <c r="G12" s="42" t="str">
        <f t="shared" si="1"/>
        <v>Pending</v>
      </c>
      <c r="H12" s="43">
        <f t="shared" si="2"/>
        <v>-13</v>
      </c>
      <c r="I12" s="43">
        <f t="shared" si="3"/>
        <v>180</v>
      </c>
      <c r="J12" s="43">
        <f t="shared" si="4"/>
        <v>36</v>
      </c>
      <c r="K12" s="42"/>
      <c r="L12" s="42">
        <v>0.0</v>
      </c>
      <c r="M12" s="42">
        <v>0.1818</v>
      </c>
      <c r="N12" s="42">
        <v>0.9091</v>
      </c>
      <c r="O12" s="42">
        <v>1.0</v>
      </c>
      <c r="P12" s="42">
        <v>0.6667</v>
      </c>
      <c r="Q12" s="42">
        <v>0.9048</v>
      </c>
      <c r="R12" s="42">
        <v>0.7619</v>
      </c>
      <c r="S12" s="42">
        <v>0.6667</v>
      </c>
      <c r="T12" s="41">
        <v>0.9048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37" t="s">
        <v>35</v>
      </c>
      <c r="B13" s="37" t="s">
        <v>38</v>
      </c>
      <c r="C13" s="37">
        <v>9.0</v>
      </c>
      <c r="D13" s="37">
        <v>1.5121526038E10</v>
      </c>
      <c r="E13" s="40"/>
      <c r="F13" s="37" t="s">
        <v>56</v>
      </c>
      <c r="G13" s="42" t="str">
        <f t="shared" si="1"/>
        <v>Pending</v>
      </c>
      <c r="H13" s="43">
        <f t="shared" si="2"/>
        <v>-25</v>
      </c>
      <c r="I13" s="43">
        <f t="shared" si="3"/>
        <v>149</v>
      </c>
      <c r="J13" s="43">
        <f t="shared" si="4"/>
        <v>67</v>
      </c>
      <c r="K13" s="42"/>
      <c r="L13" s="42">
        <v>0.0</v>
      </c>
      <c r="M13" s="42">
        <v>0.0</v>
      </c>
      <c r="N13" s="42">
        <v>0.0</v>
      </c>
      <c r="O13" s="42">
        <v>0.25</v>
      </c>
      <c r="P13" s="42">
        <v>0.9048</v>
      </c>
      <c r="Q13" s="42">
        <v>0.8095</v>
      </c>
      <c r="R13" s="42">
        <v>1.0</v>
      </c>
      <c r="S13" s="42">
        <v>1.0</v>
      </c>
      <c r="T13" s="41">
        <v>1.0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37" t="s">
        <v>35</v>
      </c>
      <c r="B14" s="37" t="s">
        <v>38</v>
      </c>
      <c r="C14" s="37">
        <v>10.0</v>
      </c>
      <c r="D14" s="37">
        <v>1.5121526039E10</v>
      </c>
      <c r="E14" s="40"/>
      <c r="F14" s="37" t="s">
        <v>58</v>
      </c>
      <c r="G14" s="42" t="str">
        <f t="shared" si="1"/>
        <v>Pending</v>
      </c>
      <c r="H14" s="43">
        <f t="shared" si="2"/>
        <v>-22</v>
      </c>
      <c r="I14" s="43">
        <f t="shared" si="3"/>
        <v>156</v>
      </c>
      <c r="J14" s="43">
        <f t="shared" si="4"/>
        <v>60</v>
      </c>
      <c r="K14" s="42"/>
      <c r="L14" s="42">
        <v>0.0</v>
      </c>
      <c r="M14" s="42">
        <v>0.0</v>
      </c>
      <c r="N14" s="42">
        <v>0.0</v>
      </c>
      <c r="O14" s="42">
        <v>0.25</v>
      </c>
      <c r="P14" s="42">
        <v>1.0</v>
      </c>
      <c r="Q14" s="42">
        <v>1.0</v>
      </c>
      <c r="R14" s="42">
        <v>1.0</v>
      </c>
      <c r="S14" s="42">
        <v>1.0</v>
      </c>
      <c r="T14" s="41">
        <v>0.9524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37" t="s">
        <v>35</v>
      </c>
      <c r="B15" s="37" t="s">
        <v>38</v>
      </c>
      <c r="C15" s="37">
        <v>12.0</v>
      </c>
      <c r="D15" s="37">
        <v>1.5121526042E10</v>
      </c>
      <c r="E15" s="40"/>
      <c r="F15" s="37" t="s">
        <v>61</v>
      </c>
      <c r="G15" s="42" t="str">
        <f t="shared" si="1"/>
        <v>Pending</v>
      </c>
      <c r="H15" s="43">
        <f t="shared" si="2"/>
        <v>-29</v>
      </c>
      <c r="I15" s="43">
        <f t="shared" si="3"/>
        <v>137</v>
      </c>
      <c r="J15" s="43">
        <f t="shared" si="4"/>
        <v>79</v>
      </c>
      <c r="K15" s="42"/>
      <c r="L15" s="42">
        <v>0.0</v>
      </c>
      <c r="M15" s="42">
        <v>0.0</v>
      </c>
      <c r="N15" s="42">
        <v>0.0</v>
      </c>
      <c r="O15" s="42">
        <v>0.0</v>
      </c>
      <c r="P15" s="42">
        <v>1.0</v>
      </c>
      <c r="Q15" s="42">
        <v>0.8095</v>
      </c>
      <c r="R15" s="42">
        <v>1.0</v>
      </c>
      <c r="S15" s="42">
        <v>0.9524</v>
      </c>
      <c r="T15" s="41">
        <v>0.8095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37" t="s">
        <v>35</v>
      </c>
      <c r="B16" s="37" t="s">
        <v>38</v>
      </c>
      <c r="C16" s="37">
        <v>13.0</v>
      </c>
      <c r="D16" s="37">
        <v>1.5121526043E10</v>
      </c>
      <c r="E16" s="40"/>
      <c r="F16" s="37" t="s">
        <v>64</v>
      </c>
      <c r="G16" s="42" t="str">
        <f t="shared" si="1"/>
        <v>Pending</v>
      </c>
      <c r="H16" s="43">
        <f t="shared" si="2"/>
        <v>-55</v>
      </c>
      <c r="I16" s="43">
        <f t="shared" si="3"/>
        <v>69</v>
      </c>
      <c r="J16" s="43">
        <f t="shared" si="4"/>
        <v>147</v>
      </c>
      <c r="K16" s="42"/>
      <c r="L16" s="42">
        <v>0.0</v>
      </c>
      <c r="M16" s="42">
        <v>0.0</v>
      </c>
      <c r="N16" s="42">
        <v>0.0</v>
      </c>
      <c r="O16" s="42">
        <v>0.0</v>
      </c>
      <c r="P16" s="42">
        <v>0.4286</v>
      </c>
      <c r="Q16" s="42">
        <v>0.0476</v>
      </c>
      <c r="R16" s="42">
        <v>0.8571</v>
      </c>
      <c r="S16" s="42">
        <v>0.4286</v>
      </c>
      <c r="T16" s="41">
        <v>0.5238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37" t="s">
        <v>35</v>
      </c>
      <c r="B17" s="37" t="s">
        <v>67</v>
      </c>
      <c r="C17" s="37">
        <v>6.0</v>
      </c>
      <c r="D17" s="37">
        <v>1.5121525004E10</v>
      </c>
      <c r="E17" s="37">
        <v>2.50010006E8</v>
      </c>
      <c r="F17" s="37" t="s">
        <v>68</v>
      </c>
      <c r="G17" s="42" t="str">
        <f t="shared" si="1"/>
        <v>Pending</v>
      </c>
      <c r="H17" s="43">
        <f t="shared" si="2"/>
        <v>-30</v>
      </c>
      <c r="I17" s="43">
        <f t="shared" si="3"/>
        <v>136</v>
      </c>
      <c r="J17" s="43">
        <f t="shared" si="4"/>
        <v>80</v>
      </c>
      <c r="K17" s="42"/>
      <c r="L17" s="42">
        <v>0.0</v>
      </c>
      <c r="M17" s="42">
        <v>0.0</v>
      </c>
      <c r="N17" s="42">
        <v>0.0</v>
      </c>
      <c r="O17" s="42">
        <v>0.0</v>
      </c>
      <c r="P17" s="42">
        <v>0.8095</v>
      </c>
      <c r="Q17" s="42">
        <v>0.8095</v>
      </c>
      <c r="R17" s="42">
        <v>1.0</v>
      </c>
      <c r="S17" s="42">
        <v>1.0</v>
      </c>
      <c r="T17" s="41">
        <v>0.9048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37" t="s">
        <v>35</v>
      </c>
      <c r="B18" s="37" t="s">
        <v>67</v>
      </c>
      <c r="C18" s="37">
        <v>14.0</v>
      </c>
      <c r="D18" s="37">
        <v>1.5121526044E10</v>
      </c>
      <c r="E18" s="40"/>
      <c r="F18" s="37" t="s">
        <v>71</v>
      </c>
      <c r="G18" s="42" t="str">
        <f t="shared" si="1"/>
        <v>Pending</v>
      </c>
      <c r="H18" s="43">
        <f t="shared" si="2"/>
        <v>-47</v>
      </c>
      <c r="I18" s="43">
        <f t="shared" si="3"/>
        <v>89</v>
      </c>
      <c r="J18" s="43">
        <f t="shared" si="4"/>
        <v>127</v>
      </c>
      <c r="K18" s="42"/>
      <c r="L18" s="42">
        <v>0.0</v>
      </c>
      <c r="M18" s="42">
        <v>0.0</v>
      </c>
      <c r="N18" s="42">
        <v>0.0</v>
      </c>
      <c r="O18" s="42">
        <v>0.0</v>
      </c>
      <c r="P18" s="42">
        <v>0.4286</v>
      </c>
      <c r="Q18" s="42">
        <v>0.6667</v>
      </c>
      <c r="R18" s="42">
        <v>0.9048</v>
      </c>
      <c r="S18" s="42">
        <v>0.2857</v>
      </c>
      <c r="T18" s="41">
        <v>0.6667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37" t="s">
        <v>35</v>
      </c>
      <c r="B19" s="37" t="s">
        <v>67</v>
      </c>
      <c r="C19" s="37">
        <v>15.0</v>
      </c>
      <c r="D19" s="37">
        <v>1.5121526045E10</v>
      </c>
      <c r="E19" s="40"/>
      <c r="F19" s="37" t="s">
        <v>74</v>
      </c>
      <c r="G19" s="42" t="str">
        <f t="shared" si="1"/>
        <v>Pending</v>
      </c>
      <c r="H19" s="43">
        <f t="shared" si="2"/>
        <v>-40</v>
      </c>
      <c r="I19" s="43">
        <f t="shared" si="3"/>
        <v>109</v>
      </c>
      <c r="J19" s="43">
        <f t="shared" si="4"/>
        <v>107</v>
      </c>
      <c r="K19" s="42"/>
      <c r="L19" s="42">
        <v>0.0</v>
      </c>
      <c r="M19" s="42">
        <v>0.0</v>
      </c>
      <c r="N19" s="42">
        <v>0.0</v>
      </c>
      <c r="O19" s="42">
        <v>0.0</v>
      </c>
      <c r="P19" s="42">
        <v>0.0625</v>
      </c>
      <c r="Q19" s="42">
        <v>0.8095</v>
      </c>
      <c r="R19" s="42">
        <v>1.0</v>
      </c>
      <c r="S19" s="42">
        <v>0.8095</v>
      </c>
      <c r="T19" s="41">
        <v>0.9524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37" t="s">
        <v>35</v>
      </c>
      <c r="B20" s="37" t="s">
        <v>67</v>
      </c>
      <c r="C20" s="37">
        <v>16.0</v>
      </c>
      <c r="D20" s="37">
        <v>1.5121526046E10</v>
      </c>
      <c r="E20" s="40"/>
      <c r="F20" s="37" t="s">
        <v>77</v>
      </c>
      <c r="G20" s="42" t="str">
        <f t="shared" si="1"/>
        <v>Pending</v>
      </c>
      <c r="H20" s="43">
        <f t="shared" si="2"/>
        <v>-32</v>
      </c>
      <c r="I20" s="43">
        <f t="shared" si="3"/>
        <v>130</v>
      </c>
      <c r="J20" s="43">
        <f t="shared" si="4"/>
        <v>86</v>
      </c>
      <c r="K20" s="42"/>
      <c r="L20" s="42">
        <v>0.0</v>
      </c>
      <c r="M20" s="42">
        <v>0.0</v>
      </c>
      <c r="N20" s="42">
        <v>0.0</v>
      </c>
      <c r="O20" s="42">
        <v>0.0</v>
      </c>
      <c r="P20" s="42">
        <v>0.75</v>
      </c>
      <c r="Q20" s="42">
        <v>0.8095</v>
      </c>
      <c r="R20" s="42">
        <v>0.9048</v>
      </c>
      <c r="S20" s="42">
        <v>0.9048</v>
      </c>
      <c r="T20" s="41">
        <v>0.9524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37" t="s">
        <v>35</v>
      </c>
      <c r="B21" s="37" t="s">
        <v>67</v>
      </c>
      <c r="C21" s="37">
        <v>17.0</v>
      </c>
      <c r="D21" s="37">
        <v>1.5121526047E10</v>
      </c>
      <c r="E21" s="40"/>
      <c r="F21" s="37" t="s">
        <v>80</v>
      </c>
      <c r="G21" s="42" t="str">
        <f t="shared" si="1"/>
        <v>Pending</v>
      </c>
      <c r="H21" s="43">
        <f t="shared" si="2"/>
        <v>-36</v>
      </c>
      <c r="I21" s="43">
        <f t="shared" si="3"/>
        <v>119</v>
      </c>
      <c r="J21" s="43">
        <f t="shared" si="4"/>
        <v>97</v>
      </c>
      <c r="K21" s="42"/>
      <c r="L21" s="42">
        <v>0.0</v>
      </c>
      <c r="M21" s="42">
        <v>0.0</v>
      </c>
      <c r="N21" s="42">
        <v>0.0</v>
      </c>
      <c r="O21" s="42">
        <v>0.0</v>
      </c>
      <c r="P21" s="42">
        <v>0.625</v>
      </c>
      <c r="Q21" s="42">
        <v>0.7143</v>
      </c>
      <c r="R21" s="42">
        <v>0.8571</v>
      </c>
      <c r="S21" s="42">
        <v>0.9048</v>
      </c>
      <c r="T21" s="41">
        <v>0.8571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37" t="s">
        <v>35</v>
      </c>
      <c r="B22" s="37" t="s">
        <v>67</v>
      </c>
      <c r="C22" s="37">
        <v>18.0</v>
      </c>
      <c r="D22" s="37">
        <v>1.5121526048E10</v>
      </c>
      <c r="E22" s="40"/>
      <c r="F22" s="37" t="s">
        <v>83</v>
      </c>
      <c r="G22" s="42" t="str">
        <f t="shared" si="1"/>
        <v>Pending</v>
      </c>
      <c r="H22" s="43">
        <f t="shared" si="2"/>
        <v>-36</v>
      </c>
      <c r="I22" s="43">
        <f t="shared" si="3"/>
        <v>119</v>
      </c>
      <c r="J22" s="43">
        <f t="shared" si="4"/>
        <v>97</v>
      </c>
      <c r="K22" s="42"/>
      <c r="L22" s="42">
        <v>0.0</v>
      </c>
      <c r="M22" s="42">
        <v>0.0</v>
      </c>
      <c r="N22" s="42">
        <v>0.0</v>
      </c>
      <c r="O22" s="42">
        <v>0.0</v>
      </c>
      <c r="P22" s="42">
        <v>0.5</v>
      </c>
      <c r="Q22" s="42">
        <v>0.8571</v>
      </c>
      <c r="R22" s="42">
        <v>0.7143</v>
      </c>
      <c r="S22" s="42">
        <v>1.0</v>
      </c>
      <c r="T22" s="41">
        <v>0.9048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37" t="s">
        <v>35</v>
      </c>
      <c r="B23" s="37" t="s">
        <v>67</v>
      </c>
      <c r="C23" s="37">
        <v>19.0</v>
      </c>
      <c r="D23" s="37">
        <v>1.5121526049E10</v>
      </c>
      <c r="E23" s="40"/>
      <c r="F23" s="37" t="s">
        <v>86</v>
      </c>
      <c r="G23" s="42" t="str">
        <f t="shared" si="1"/>
        <v>Pending</v>
      </c>
      <c r="H23" s="43">
        <f t="shared" si="2"/>
        <v>-33</v>
      </c>
      <c r="I23" s="43">
        <f t="shared" si="3"/>
        <v>127</v>
      </c>
      <c r="J23" s="43">
        <f t="shared" si="4"/>
        <v>89</v>
      </c>
      <c r="K23" s="42"/>
      <c r="L23" s="42">
        <v>0.0</v>
      </c>
      <c r="M23" s="42">
        <v>0.0</v>
      </c>
      <c r="N23" s="42">
        <v>0.0</v>
      </c>
      <c r="O23" s="42">
        <v>0.0</v>
      </c>
      <c r="P23" s="42">
        <v>0.5625</v>
      </c>
      <c r="Q23" s="42">
        <v>0.8571</v>
      </c>
      <c r="R23" s="42">
        <v>0.9048</v>
      </c>
      <c r="S23" s="42">
        <v>1.0</v>
      </c>
      <c r="T23" s="41">
        <v>0.9048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37" t="s">
        <v>35</v>
      </c>
      <c r="B24" s="37" t="s">
        <v>67</v>
      </c>
      <c r="C24" s="37">
        <v>20.0</v>
      </c>
      <c r="D24" s="37">
        <v>1.512152605E10</v>
      </c>
      <c r="E24" s="40"/>
      <c r="F24" s="37" t="s">
        <v>89</v>
      </c>
      <c r="G24" s="42" t="str">
        <f t="shared" si="1"/>
        <v>Pending</v>
      </c>
      <c r="H24" s="43">
        <f t="shared" si="2"/>
        <v>-40</v>
      </c>
      <c r="I24" s="43">
        <f t="shared" si="3"/>
        <v>107</v>
      </c>
      <c r="J24" s="43">
        <f t="shared" si="4"/>
        <v>109</v>
      </c>
      <c r="K24" s="42"/>
      <c r="L24" s="42">
        <v>0.0</v>
      </c>
      <c r="M24" s="42">
        <v>0.0</v>
      </c>
      <c r="N24" s="42">
        <v>0.0</v>
      </c>
      <c r="O24" s="42">
        <v>0.0</v>
      </c>
      <c r="P24" s="42">
        <v>0.4167</v>
      </c>
      <c r="Q24" s="42">
        <v>0.619</v>
      </c>
      <c r="R24" s="42">
        <v>0.6667</v>
      </c>
      <c r="S24" s="42">
        <v>1.0</v>
      </c>
      <c r="T24" s="41">
        <v>0.8571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37" t="s">
        <v>35</v>
      </c>
      <c r="B25" s="37" t="s">
        <v>67</v>
      </c>
      <c r="C25" s="37">
        <v>21.0</v>
      </c>
      <c r="D25" s="37">
        <v>1.5121526051E10</v>
      </c>
      <c r="E25" s="40"/>
      <c r="F25" s="37" t="s">
        <v>92</v>
      </c>
      <c r="G25" s="42" t="str">
        <f t="shared" si="1"/>
        <v>Pending</v>
      </c>
      <c r="H25" s="43">
        <f t="shared" si="2"/>
        <v>-31</v>
      </c>
      <c r="I25" s="43">
        <f t="shared" si="3"/>
        <v>133</v>
      </c>
      <c r="J25" s="43">
        <f t="shared" si="4"/>
        <v>83</v>
      </c>
      <c r="K25" s="42"/>
      <c r="L25" s="42">
        <v>0.0</v>
      </c>
      <c r="M25" s="42">
        <v>0.0</v>
      </c>
      <c r="N25" s="42">
        <v>0.0</v>
      </c>
      <c r="O25" s="42">
        <v>0.0</v>
      </c>
      <c r="P25" s="42">
        <v>1.0</v>
      </c>
      <c r="Q25" s="42">
        <v>0.8571</v>
      </c>
      <c r="R25" s="42">
        <v>0.8571</v>
      </c>
      <c r="S25" s="42">
        <v>0.8095</v>
      </c>
      <c r="T25" s="41">
        <v>0.9048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37" t="s">
        <v>35</v>
      </c>
      <c r="B26" s="37" t="s">
        <v>67</v>
      </c>
      <c r="C26" s="37">
        <v>22.0</v>
      </c>
      <c r="D26" s="37">
        <v>1.5121526052E10</v>
      </c>
      <c r="E26" s="40"/>
      <c r="F26" s="37" t="s">
        <v>95</v>
      </c>
      <c r="G26" s="42" t="str">
        <f t="shared" si="1"/>
        <v>Pending</v>
      </c>
      <c r="H26" s="43">
        <f t="shared" si="2"/>
        <v>-28</v>
      </c>
      <c r="I26" s="43">
        <f t="shared" si="3"/>
        <v>139</v>
      </c>
      <c r="J26" s="43">
        <f t="shared" si="4"/>
        <v>77</v>
      </c>
      <c r="K26" s="42"/>
      <c r="L26" s="42">
        <v>0.0</v>
      </c>
      <c r="M26" s="42">
        <v>0.0</v>
      </c>
      <c r="N26" s="42">
        <v>0.0</v>
      </c>
      <c r="O26" s="42">
        <v>0.0</v>
      </c>
      <c r="P26" s="42">
        <v>0.8333</v>
      </c>
      <c r="Q26" s="42">
        <v>1.0</v>
      </c>
      <c r="R26" s="42">
        <v>1.0</v>
      </c>
      <c r="S26" s="42">
        <v>0.8571</v>
      </c>
      <c r="T26" s="41">
        <v>0.9524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37" t="s">
        <v>35</v>
      </c>
      <c r="B27" s="37" t="s">
        <v>67</v>
      </c>
      <c r="C27" s="37">
        <v>23.0</v>
      </c>
      <c r="D27" s="37">
        <v>1.5121526081E10</v>
      </c>
      <c r="E27" s="40"/>
      <c r="F27" s="37" t="s">
        <v>98</v>
      </c>
      <c r="G27" s="42" t="str">
        <f t="shared" si="1"/>
        <v>Pending</v>
      </c>
      <c r="H27" s="43">
        <f t="shared" si="2"/>
        <v>-59</v>
      </c>
      <c r="I27" s="43">
        <f t="shared" si="3"/>
        <v>56</v>
      </c>
      <c r="J27" s="43">
        <f t="shared" si="4"/>
        <v>160</v>
      </c>
      <c r="K27" s="42"/>
      <c r="L27" s="42">
        <v>0.0</v>
      </c>
      <c r="M27" s="42">
        <v>0.0</v>
      </c>
      <c r="N27" s="42">
        <v>0.0</v>
      </c>
      <c r="O27" s="42">
        <v>0.0</v>
      </c>
      <c r="P27" s="42">
        <v>0.0</v>
      </c>
      <c r="Q27" s="42">
        <v>0.0</v>
      </c>
      <c r="R27" s="42">
        <v>0.25</v>
      </c>
      <c r="S27" s="42">
        <v>0.7143</v>
      </c>
      <c r="T27" s="41">
        <v>0.9048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29" t="s">
        <v>6</v>
      </c>
      <c r="B28" s="29" t="s">
        <v>7</v>
      </c>
      <c r="C28" s="29" t="s">
        <v>8</v>
      </c>
      <c r="D28" s="29" t="s">
        <v>9</v>
      </c>
      <c r="E28" s="29" t="s">
        <v>10</v>
      </c>
      <c r="F28" s="29"/>
      <c r="G28" s="42"/>
      <c r="H28" s="43"/>
      <c r="I28" s="43"/>
      <c r="J28" s="43"/>
      <c r="K28" s="40"/>
      <c r="L28" s="40"/>
      <c r="M28" s="40"/>
      <c r="N28" s="40"/>
      <c r="O28" s="40"/>
      <c r="P28" s="40"/>
      <c r="Q28" s="40"/>
      <c r="R28" s="40"/>
      <c r="S28" s="40"/>
      <c r="T28" s="46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37" t="s">
        <v>102</v>
      </c>
      <c r="B29" s="37" t="s">
        <v>103</v>
      </c>
      <c r="C29" s="37">
        <v>1.0</v>
      </c>
      <c r="D29" s="37">
        <v>1.5121526053E10</v>
      </c>
      <c r="E29" s="40"/>
      <c r="F29" s="37" t="s">
        <v>104</v>
      </c>
      <c r="G29" s="42" t="str">
        <f t="shared" ref="G29:G35" si="5">IF(H29&gt;=0,"OK",IF(K29&gt;=J29,"Completed","Pending"))</f>
        <v>Pending</v>
      </c>
      <c r="H29" s="43">
        <f t="shared" ref="H29:H35" si="6">round((((((L29*100)*$L$5)+((M29*100)*$M$5)+((N29*100)*$N$5)+((O29*100)*$O$5)+((P29*100)*$P$5)+((Q29*100)*$Q$5)+((R29*100)*$R$5)+((S29*100)*$S$5)+((T29*100)*$T$5)+((U29*100)*$U$5)+((V29*100)*$V$5)+((W29*100)*$W$5)+((X29*100)*$X$5)+((Y29*100)*$Y$5)+((Z29*100)*$Z$5)++((W29*100)*$W$5)+((AA29*100)*$AA$5))/($L$5+$M$5+$N$5+$O$5+$P$5+$Q$5+$R$5+$S$5+$T$5+$V$5+$U$5+$W$5+$X$5+$Y$5+$Z$5+$AA$5))-80),0)</f>
        <v>-46</v>
      </c>
      <c r="I29" s="43">
        <f t="shared" ref="I29:I35" si="7">round(30*((L29*$L$5)+(M29*$M$5)+(N29*$N$5)+(O29*$O$5)+(P29*$P$5)+(Q29*$Q$5)+(R29*$R$5)+(S29*$S$5)+(T29*$T$5)+(U29*$U$5)+(V29*$V$5)+(W29*$W$5)+(X29*$X$5)+(Y29*$Y$5)+(Z29*$Z$5)+(AA29*$AA$5)),0)</f>
        <v>92</v>
      </c>
      <c r="J29" s="43">
        <f t="shared" ref="J29:J35" si="8">if(I29&lt;(24*($L$5+$M$5+$N$5+$O$5+$P$5+$Q$5+$R$5+$S$5+$T$5+$V$5+$U$5+$W$5+$X$5+$Y$5+$Z$5+$AA$5)),abs(I29-(24*($L$5+$M$5+$N$5+$O$5+$P$5+$Q$5+$R$5+$S$5+$T$5+$V$5+$U$5+$W$5+$X$5+$Y$5+$Z$5+$AA$5))),0)</f>
        <v>124</v>
      </c>
      <c r="K29" s="40"/>
      <c r="L29" s="40"/>
      <c r="M29" s="40"/>
      <c r="N29" s="40"/>
      <c r="O29" s="40"/>
      <c r="P29" s="40"/>
      <c r="Q29" s="42">
        <v>0.7273</v>
      </c>
      <c r="R29" s="42">
        <v>0.619</v>
      </c>
      <c r="S29" s="42">
        <v>0.8095</v>
      </c>
      <c r="T29" s="41">
        <v>0.9048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37" t="s">
        <v>102</v>
      </c>
      <c r="B30" s="37" t="s">
        <v>103</v>
      </c>
      <c r="C30" s="37">
        <v>2.0</v>
      </c>
      <c r="D30" s="37">
        <v>1.5121526064E10</v>
      </c>
      <c r="E30" s="40"/>
      <c r="F30" s="37" t="s">
        <v>119</v>
      </c>
      <c r="G30" s="42" t="str">
        <f t="shared" si="5"/>
        <v>Pending</v>
      </c>
      <c r="H30" s="43">
        <f t="shared" si="6"/>
        <v>-62</v>
      </c>
      <c r="I30" s="43">
        <f t="shared" si="7"/>
        <v>48</v>
      </c>
      <c r="J30" s="43">
        <f t="shared" si="8"/>
        <v>168</v>
      </c>
      <c r="K30" s="40"/>
      <c r="L30" s="40"/>
      <c r="M30" s="40"/>
      <c r="N30" s="40"/>
      <c r="O30" s="40"/>
      <c r="P30" s="40"/>
      <c r="Q30" s="42">
        <v>0.0909</v>
      </c>
      <c r="R30" s="42">
        <v>0.7619</v>
      </c>
      <c r="S30" s="42">
        <v>0.4762</v>
      </c>
      <c r="T30" s="41">
        <v>0.2857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37" t="s">
        <v>102</v>
      </c>
      <c r="B31" s="37" t="s">
        <v>103</v>
      </c>
      <c r="C31" s="37">
        <v>3.0</v>
      </c>
      <c r="D31" s="37">
        <v>1.5121526065E10</v>
      </c>
      <c r="E31" s="40"/>
      <c r="F31" s="37" t="s">
        <v>123</v>
      </c>
      <c r="G31" s="42" t="str">
        <f t="shared" si="5"/>
        <v>Pending</v>
      </c>
      <c r="H31" s="43">
        <f t="shared" si="6"/>
        <v>-37</v>
      </c>
      <c r="I31" s="43">
        <f t="shared" si="7"/>
        <v>116</v>
      </c>
      <c r="J31" s="43">
        <f t="shared" si="8"/>
        <v>100</v>
      </c>
      <c r="K31" s="40"/>
      <c r="L31" s="40"/>
      <c r="M31" s="40"/>
      <c r="N31" s="40"/>
      <c r="O31" s="40"/>
      <c r="P31" s="40"/>
      <c r="Q31" s="42">
        <v>0.9091</v>
      </c>
      <c r="R31" s="42">
        <v>1.0</v>
      </c>
      <c r="S31" s="42">
        <v>1.0</v>
      </c>
      <c r="T31" s="41">
        <v>0.9524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37" t="s">
        <v>102</v>
      </c>
      <c r="B32" s="37" t="s">
        <v>103</v>
      </c>
      <c r="C32" s="37">
        <v>4.0</v>
      </c>
      <c r="D32" s="37">
        <v>1.5121526066E10</v>
      </c>
      <c r="E32" s="40"/>
      <c r="F32" s="37" t="s">
        <v>126</v>
      </c>
      <c r="G32" s="42" t="str">
        <f t="shared" si="5"/>
        <v>Pending</v>
      </c>
      <c r="H32" s="43">
        <f t="shared" si="6"/>
        <v>-47</v>
      </c>
      <c r="I32" s="43">
        <f t="shared" si="7"/>
        <v>88</v>
      </c>
      <c r="J32" s="43">
        <f t="shared" si="8"/>
        <v>128</v>
      </c>
      <c r="K32" s="40"/>
      <c r="L32" s="40"/>
      <c r="M32" s="40"/>
      <c r="N32" s="40"/>
      <c r="O32" s="40"/>
      <c r="P32" s="40"/>
      <c r="Q32" s="42">
        <v>0.5</v>
      </c>
      <c r="R32" s="42">
        <v>0.9524</v>
      </c>
      <c r="S32" s="42">
        <v>1.0</v>
      </c>
      <c r="T32" s="41">
        <v>0.4762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37" t="s">
        <v>102</v>
      </c>
      <c r="B33" s="37" t="s">
        <v>103</v>
      </c>
      <c r="C33" s="37">
        <v>5.0</v>
      </c>
      <c r="D33" s="37">
        <v>1.5121526067E10</v>
      </c>
      <c r="E33" s="40"/>
      <c r="F33" s="37" t="s">
        <v>129</v>
      </c>
      <c r="G33" s="42" t="str">
        <f t="shared" si="5"/>
        <v>Pending</v>
      </c>
      <c r="H33" s="43">
        <f t="shared" si="6"/>
        <v>-61</v>
      </c>
      <c r="I33" s="43">
        <f t="shared" si="7"/>
        <v>52</v>
      </c>
      <c r="J33" s="43">
        <f t="shared" si="8"/>
        <v>164</v>
      </c>
      <c r="K33" s="40"/>
      <c r="L33" s="40"/>
      <c r="M33" s="40"/>
      <c r="N33" s="40"/>
      <c r="O33" s="40"/>
      <c r="P33" s="40"/>
      <c r="Q33" s="42">
        <v>0.1</v>
      </c>
      <c r="R33" s="42">
        <v>0.6667</v>
      </c>
      <c r="S33" s="42">
        <v>0.619</v>
      </c>
      <c r="T33" s="41">
        <v>0.3333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37" t="s">
        <v>102</v>
      </c>
      <c r="B34" s="37" t="s">
        <v>103</v>
      </c>
      <c r="C34" s="37">
        <v>6.0</v>
      </c>
      <c r="D34" s="37">
        <v>1.5121526071E10</v>
      </c>
      <c r="E34" s="40"/>
      <c r="F34" s="37" t="s">
        <v>132</v>
      </c>
      <c r="G34" s="42" t="str">
        <f t="shared" si="5"/>
        <v>Pending</v>
      </c>
      <c r="H34" s="43">
        <f t="shared" si="6"/>
        <v>-51</v>
      </c>
      <c r="I34" s="43">
        <f t="shared" si="7"/>
        <v>77</v>
      </c>
      <c r="J34" s="43">
        <f t="shared" si="8"/>
        <v>139</v>
      </c>
      <c r="K34" s="40"/>
      <c r="L34" s="40"/>
      <c r="M34" s="40"/>
      <c r="N34" s="40"/>
      <c r="O34" s="40"/>
      <c r="P34" s="40"/>
      <c r="Q34" s="42">
        <v>0.0</v>
      </c>
      <c r="R34" s="42">
        <v>0.8095</v>
      </c>
      <c r="S34" s="42">
        <v>0.8571</v>
      </c>
      <c r="T34" s="41">
        <v>0.9048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47"/>
      <c r="B35" s="47"/>
      <c r="C35" s="47"/>
      <c r="D35" s="47"/>
      <c r="E35" s="47"/>
      <c r="F35" s="47">
        <f>counta(F7:F34)</f>
        <v>27</v>
      </c>
      <c r="G35" s="42" t="str">
        <f t="shared" si="5"/>
        <v>Pending</v>
      </c>
      <c r="H35" s="43">
        <f t="shared" si="6"/>
        <v>-30</v>
      </c>
      <c r="I35" s="43">
        <f t="shared" si="7"/>
        <v>135</v>
      </c>
      <c r="J35" s="43">
        <f t="shared" si="8"/>
        <v>81</v>
      </c>
      <c r="K35" s="47"/>
      <c r="L35" s="48">
        <f t="shared" ref="L35:Z35" si="9">sum(L7:L34)/$F$35</f>
        <v>0.1313925926</v>
      </c>
      <c r="M35" s="48">
        <f t="shared" si="9"/>
        <v>0.1483444444</v>
      </c>
      <c r="N35" s="48">
        <f t="shared" si="9"/>
        <v>0.1784481481</v>
      </c>
      <c r="O35" s="48">
        <f t="shared" si="9"/>
        <v>0.2354481481</v>
      </c>
      <c r="P35" s="48">
        <f t="shared" si="9"/>
        <v>0.5533555556</v>
      </c>
      <c r="Q35" s="48">
        <f t="shared" si="9"/>
        <v>0.6946518519</v>
      </c>
      <c r="R35" s="48">
        <f t="shared" si="9"/>
        <v>0.8681666667</v>
      </c>
      <c r="S35" s="48">
        <f t="shared" si="9"/>
        <v>0.8536148148</v>
      </c>
      <c r="T35" s="48">
        <f t="shared" si="9"/>
        <v>0.8236444444</v>
      </c>
      <c r="U35" s="48">
        <f t="shared" si="9"/>
        <v>0</v>
      </c>
      <c r="V35" s="48">
        <f t="shared" si="9"/>
        <v>0</v>
      </c>
      <c r="W35" s="48">
        <f t="shared" si="9"/>
        <v>0</v>
      </c>
      <c r="X35" s="48">
        <f t="shared" si="9"/>
        <v>0</v>
      </c>
      <c r="Y35" s="48">
        <f t="shared" si="9"/>
        <v>0</v>
      </c>
      <c r="Z35" s="48">
        <f t="shared" si="9"/>
        <v>0</v>
      </c>
      <c r="AA35" s="8"/>
      <c r="AB35" s="8"/>
      <c r="AC35" s="8"/>
      <c r="AD35" s="8"/>
      <c r="AE35" s="8"/>
    </row>
    <row r="36" ht="15.75" customHeight="1">
      <c r="A36" s="8"/>
      <c r="B36" s="8"/>
      <c r="C36" s="8"/>
      <c r="D36" s="8"/>
      <c r="E36" s="8"/>
      <c r="F36" s="8"/>
      <c r="G36" s="42"/>
      <c r="H36" s="43"/>
      <c r="I36" s="43"/>
      <c r="J36" s="4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</row>
    <row r="1001" ht="15.75" customHeight="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</row>
  </sheetData>
  <mergeCells count="4">
    <mergeCell ref="A1:O1"/>
    <mergeCell ref="A2:O2"/>
    <mergeCell ref="A3:O3"/>
    <mergeCell ref="A4:O4"/>
  </mergeCells>
  <conditionalFormatting sqref="F7:F40">
    <cfRule type="expression" dxfId="0" priority="1">
      <formula>AND(H7&lt;0,K7&gt;=J7)</formula>
    </cfRule>
  </conditionalFormatting>
  <conditionalFormatting sqref="F7:F40">
    <cfRule type="expression" dxfId="1" priority="2">
      <formula>AND(H7&lt;0,K7&lt;J7)</formula>
    </cfRule>
  </conditionalFormatting>
  <conditionalFormatting sqref="F7:F40">
    <cfRule type="expression" dxfId="2" priority="3">
      <formula>H7&gt;=0</formula>
    </cfRule>
  </conditionalFormatting>
  <conditionalFormatting sqref="G7:G40">
    <cfRule type="expression" dxfId="0" priority="4">
      <formula>AND(H7&lt;0,K7&gt;=J7)</formula>
    </cfRule>
  </conditionalFormatting>
  <conditionalFormatting sqref="G7:G40">
    <cfRule type="expression" dxfId="3" priority="5">
      <formula>AND(H7&lt;0,K7&lt;J7)</formula>
    </cfRule>
  </conditionalFormatting>
  <conditionalFormatting sqref="G7:G40">
    <cfRule type="expression" dxfId="4" priority="6">
      <formula>H7&gt;=0</formula>
    </cfRule>
  </conditionalFormatting>
  <conditionalFormatting sqref="H7:H40">
    <cfRule type="cellIs" dxfId="1" priority="7" operator="lessThanOrEqual">
      <formula>-0.01</formula>
    </cfRule>
  </conditionalFormatting>
  <conditionalFormatting sqref="H7:H40">
    <cfRule type="cellIs" dxfId="4" priority="8" operator="equal">
      <formula>0</formula>
    </cfRule>
  </conditionalFormatting>
  <conditionalFormatting sqref="H7:H40">
    <cfRule type="cellIs" dxfId="0" priority="9" operator="greaterThanOrEqual">
      <formula>0.01</formula>
    </cfRule>
  </conditionalFormatting>
  <conditionalFormatting sqref="I7:I40">
    <cfRule type="expression" dxfId="0" priority="10">
      <formula>J7=0</formula>
    </cfRule>
  </conditionalFormatting>
  <conditionalFormatting sqref="I7:I40">
    <cfRule type="expression" dxfId="1" priority="11">
      <formula>J7&gt;0</formula>
    </cfRule>
  </conditionalFormatting>
  <conditionalFormatting sqref="J7:J40">
    <cfRule type="cellIs" dxfId="0" priority="12" operator="equal">
      <formula>0</formula>
    </cfRule>
  </conditionalFormatting>
  <conditionalFormatting sqref="J7:J40">
    <cfRule type="cellIs" dxfId="1" priority="13" operator="greaterThan">
      <formula>0</formula>
    </cfRule>
  </conditionalFormatting>
  <conditionalFormatting sqref="K7:K40">
    <cfRule type="expression" dxfId="0" priority="14">
      <formula>J7=0</formula>
    </cfRule>
  </conditionalFormatting>
  <conditionalFormatting sqref="K7:K40">
    <cfRule type="expression" dxfId="1" priority="15">
      <formula>and(J7&gt;0,J7&gt;K7)</formula>
    </cfRule>
  </conditionalFormatting>
  <conditionalFormatting sqref="K7:K40">
    <cfRule type="expression" dxfId="5" priority="16">
      <formula>or(J7=K7)</formula>
    </cfRule>
  </conditionalFormatting>
  <conditionalFormatting sqref="L7:Z40">
    <cfRule type="cellIs" dxfId="0" priority="17" operator="greaterThanOrEqual">
      <formula>"80.01%"</formula>
    </cfRule>
  </conditionalFormatting>
  <conditionalFormatting sqref="L7:Z40">
    <cfRule type="cellIs" dxfId="1" priority="18" operator="lessThanOrEqual">
      <formula>"79.99%"</formula>
    </cfRule>
  </conditionalFormatting>
  <conditionalFormatting sqref="L7:Z40">
    <cfRule type="cellIs" dxfId="6" priority="19" operator="equal">
      <formula>"80%"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31" width="9.14"/>
  </cols>
  <sheetData>
    <row r="1" ht="19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7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t="19.5" customHeight="1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7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ht="19.5" customHeight="1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7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9.5" customHeight="1">
      <c r="A4" s="1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7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9">
        <v>1.0</v>
      </c>
      <c r="M5" s="19">
        <v>1.0</v>
      </c>
      <c r="N5" s="19">
        <v>1.0</v>
      </c>
      <c r="O5" s="19">
        <v>1.0</v>
      </c>
      <c r="P5" s="19">
        <v>1.0</v>
      </c>
      <c r="Q5" s="19">
        <v>1.0</v>
      </c>
      <c r="R5" s="19">
        <v>1.0</v>
      </c>
      <c r="S5" s="19">
        <v>1.0</v>
      </c>
      <c r="T5" s="22">
        <v>1.0</v>
      </c>
      <c r="U5" s="19">
        <v>0.0</v>
      </c>
      <c r="V5" s="19">
        <v>0.0</v>
      </c>
      <c r="W5" s="19">
        <v>0.0</v>
      </c>
      <c r="X5" s="19">
        <v>0.0</v>
      </c>
      <c r="Y5" s="19">
        <v>0.0</v>
      </c>
      <c r="Z5" s="19">
        <v>0.0</v>
      </c>
      <c r="AA5" s="24"/>
      <c r="AB5" s="26"/>
      <c r="AC5" s="26"/>
      <c r="AD5" s="26"/>
      <c r="AE5" s="26"/>
    </row>
    <row r="6">
      <c r="A6" s="28" t="s">
        <v>6</v>
      </c>
      <c r="B6" s="28" t="s">
        <v>7</v>
      </c>
      <c r="C6" s="28" t="s">
        <v>8</v>
      </c>
      <c r="D6" s="28" t="s">
        <v>9</v>
      </c>
      <c r="E6" s="28" t="s">
        <v>10</v>
      </c>
      <c r="F6" s="28" t="s">
        <v>11</v>
      </c>
      <c r="G6" s="30" t="s">
        <v>12</v>
      </c>
      <c r="H6" s="32" t="s">
        <v>13</v>
      </c>
      <c r="I6" s="32" t="s">
        <v>14</v>
      </c>
      <c r="J6" s="32" t="s">
        <v>15</v>
      </c>
      <c r="K6" s="32" t="s">
        <v>16</v>
      </c>
      <c r="L6" s="34" t="s">
        <v>17</v>
      </c>
      <c r="M6" s="34" t="s">
        <v>18</v>
      </c>
      <c r="N6" s="34" t="s">
        <v>19</v>
      </c>
      <c r="O6" s="34" t="s">
        <v>20</v>
      </c>
      <c r="P6" s="34" t="s">
        <v>21</v>
      </c>
      <c r="Q6" s="34" t="s">
        <v>22</v>
      </c>
      <c r="R6" s="34" t="s">
        <v>23</v>
      </c>
      <c r="S6" s="34" t="s">
        <v>24</v>
      </c>
      <c r="T6" s="34" t="s">
        <v>25</v>
      </c>
      <c r="U6" s="34" t="s">
        <v>26</v>
      </c>
      <c r="V6" s="34" t="s">
        <v>27</v>
      </c>
      <c r="W6" s="34" t="s">
        <v>28</v>
      </c>
      <c r="X6" s="34" t="s">
        <v>29</v>
      </c>
      <c r="Y6" s="34" t="s">
        <v>30</v>
      </c>
      <c r="Z6" s="34" t="s">
        <v>31</v>
      </c>
      <c r="AA6" s="24"/>
      <c r="AB6" s="26"/>
      <c r="AC6" s="26"/>
      <c r="AD6" s="26"/>
      <c r="AE6" s="26"/>
    </row>
    <row r="7">
      <c r="A7" s="35" t="s">
        <v>32</v>
      </c>
      <c r="B7" s="35" t="s">
        <v>34</v>
      </c>
      <c r="C7" s="35">
        <v>1.0</v>
      </c>
      <c r="D7" s="35">
        <v>1.5120526096E10</v>
      </c>
      <c r="E7" s="38"/>
      <c r="F7" s="39" t="s">
        <v>40</v>
      </c>
      <c r="G7" s="41" t="str">
        <f t="shared" ref="G7:G89" si="1">IF(H7&gt;=0,"OK",IF(K7&gt;=J7,"Completed","Pending"))</f>
        <v>Pending</v>
      </c>
      <c r="H7" s="44">
        <f t="shared" ref="H7:H89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-38</v>
      </c>
      <c r="I7" s="44">
        <f t="shared" ref="I7:I89" si="3">round(30*((L7*$L$5)+(M7*$M$5)+(N7*$N$5)+(O7*$O$5)+(P7*$P$5)+(Q7*$Q$5)+(R7*$R$5)+(S7*$S$5)+(T7*$T$5)+(U7*$U$5)+(V7*$V$5)+(W7*$W$5)+(X7*$X$5)+(Y7*$Y$5)+(Z7*$Z$5)+(AA7*$AA$5)),0)</f>
        <v>112</v>
      </c>
      <c r="J7" s="44">
        <f t="shared" ref="J7:J89" si="4">if(I7&lt;(24*($L$5+$M$5+$N$5+$O$5+$P$5+$Q$5+$R$5+$S$5+$T$5+$V$5+$U$5+$W$5+$X$5+$Y$5+$Z$5+$AA$5)),abs(I7-(24*($L$5+$M$5+$N$5+$O$5+$P$5+$Q$5+$R$5+$S$5+$T$5+$V$5+$U$5+$W$5+$X$5+$Y$5+$Z$5+$AA$5))),0)</f>
        <v>104</v>
      </c>
      <c r="K7" s="41"/>
      <c r="L7" s="41">
        <v>0.0</v>
      </c>
      <c r="M7" s="41">
        <v>0.0</v>
      </c>
      <c r="N7" s="41">
        <v>0.0</v>
      </c>
      <c r="O7" s="41">
        <v>0.0</v>
      </c>
      <c r="P7" s="41">
        <v>0.8889</v>
      </c>
      <c r="Q7" s="41">
        <v>0.6667</v>
      </c>
      <c r="R7" s="41">
        <v>0.8095</v>
      </c>
      <c r="S7" s="41">
        <v>0.7619</v>
      </c>
      <c r="T7" s="41">
        <v>0.619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35" t="s">
        <v>32</v>
      </c>
      <c r="B8" s="35" t="s">
        <v>34</v>
      </c>
      <c r="C8" s="35">
        <v>2.0</v>
      </c>
      <c r="D8" s="35">
        <v>1.512052609E10</v>
      </c>
      <c r="E8" s="38"/>
      <c r="F8" s="39" t="s">
        <v>43</v>
      </c>
      <c r="G8" s="41" t="str">
        <f t="shared" si="1"/>
        <v>Pending</v>
      </c>
      <c r="H8" s="44">
        <f t="shared" si="2"/>
        <v>-45</v>
      </c>
      <c r="I8" s="44">
        <f t="shared" si="3"/>
        <v>94</v>
      </c>
      <c r="J8" s="44">
        <f t="shared" si="4"/>
        <v>122</v>
      </c>
      <c r="K8" s="41"/>
      <c r="L8" s="41">
        <v>0.0</v>
      </c>
      <c r="M8" s="41">
        <v>0.0</v>
      </c>
      <c r="N8" s="41">
        <v>0.0</v>
      </c>
      <c r="O8" s="41">
        <v>0.0</v>
      </c>
      <c r="P8" s="41">
        <v>0.9048</v>
      </c>
      <c r="Q8" s="41">
        <v>0.5714</v>
      </c>
      <c r="R8" s="41">
        <v>0.5714</v>
      </c>
      <c r="S8" s="41">
        <v>0.619</v>
      </c>
      <c r="T8" s="41">
        <v>0.4762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35" t="s">
        <v>32</v>
      </c>
      <c r="B9" s="35" t="s">
        <v>34</v>
      </c>
      <c r="C9" s="35">
        <v>4.0</v>
      </c>
      <c r="D9" s="35">
        <v>1.5120525034E10</v>
      </c>
      <c r="E9" s="35">
        <v>2.50007005E8</v>
      </c>
      <c r="F9" s="39" t="s">
        <v>46</v>
      </c>
      <c r="G9" s="41" t="str">
        <f t="shared" si="1"/>
        <v>OK</v>
      </c>
      <c r="H9" s="44">
        <f t="shared" si="2"/>
        <v>15</v>
      </c>
      <c r="I9" s="44">
        <f t="shared" si="3"/>
        <v>256</v>
      </c>
      <c r="J9" s="44">
        <f t="shared" si="4"/>
        <v>0</v>
      </c>
      <c r="K9" s="41"/>
      <c r="L9" s="41">
        <v>1.0</v>
      </c>
      <c r="M9" s="41">
        <v>1.0</v>
      </c>
      <c r="N9" s="41">
        <v>1.0</v>
      </c>
      <c r="O9" s="41">
        <v>0.8182</v>
      </c>
      <c r="P9" s="41">
        <v>0.9048</v>
      </c>
      <c r="Q9" s="41">
        <v>0.9524</v>
      </c>
      <c r="R9" s="41">
        <v>0.9524</v>
      </c>
      <c r="S9" s="41">
        <v>1.0</v>
      </c>
      <c r="T9" s="41">
        <v>0.9048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35" t="s">
        <v>32</v>
      </c>
      <c r="B10" s="35" t="s">
        <v>34</v>
      </c>
      <c r="C10" s="35">
        <v>8.0</v>
      </c>
      <c r="D10" s="35">
        <v>1.5120525129E10</v>
      </c>
      <c r="E10" s="35">
        <v>2.50007009E8</v>
      </c>
      <c r="F10" s="39" t="s">
        <v>49</v>
      </c>
      <c r="G10" s="41" t="str">
        <f t="shared" si="1"/>
        <v>Pending</v>
      </c>
      <c r="H10" s="44">
        <f t="shared" si="2"/>
        <v>-23</v>
      </c>
      <c r="I10" s="44">
        <f t="shared" si="3"/>
        <v>155</v>
      </c>
      <c r="J10" s="44">
        <f t="shared" si="4"/>
        <v>61</v>
      </c>
      <c r="K10" s="41"/>
      <c r="L10" s="41">
        <v>0.0</v>
      </c>
      <c r="M10" s="41">
        <v>0.0588</v>
      </c>
      <c r="N10" s="41">
        <v>0.3636</v>
      </c>
      <c r="O10" s="41">
        <v>0.5909</v>
      </c>
      <c r="P10" s="41">
        <v>1.0</v>
      </c>
      <c r="Q10" s="41">
        <v>0.8571</v>
      </c>
      <c r="R10" s="41">
        <v>0.9524</v>
      </c>
      <c r="S10" s="41">
        <v>0.619</v>
      </c>
      <c r="T10" s="41">
        <v>0.7143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35" t="s">
        <v>32</v>
      </c>
      <c r="B11" s="35" t="s">
        <v>34</v>
      </c>
      <c r="C11" s="35">
        <v>9.0</v>
      </c>
      <c r="D11" s="35">
        <v>1.5120525024E10</v>
      </c>
      <c r="E11" s="35">
        <v>2.5000701E8</v>
      </c>
      <c r="F11" s="39" t="s">
        <v>51</v>
      </c>
      <c r="G11" s="41" t="str">
        <f t="shared" si="1"/>
        <v>OK</v>
      </c>
      <c r="H11" s="44">
        <f t="shared" si="2"/>
        <v>13</v>
      </c>
      <c r="I11" s="44">
        <f t="shared" si="3"/>
        <v>252</v>
      </c>
      <c r="J11" s="44">
        <f t="shared" si="4"/>
        <v>0</v>
      </c>
      <c r="K11" s="41"/>
      <c r="L11" s="41">
        <v>0.8095</v>
      </c>
      <c r="M11" s="41">
        <v>1.0</v>
      </c>
      <c r="N11" s="41">
        <v>1.0</v>
      </c>
      <c r="O11" s="41">
        <v>0.8636</v>
      </c>
      <c r="P11" s="41">
        <v>0.9524</v>
      </c>
      <c r="Q11" s="41">
        <v>1.0</v>
      </c>
      <c r="R11" s="41">
        <v>0.7619</v>
      </c>
      <c r="S11" s="41">
        <v>1.0</v>
      </c>
      <c r="T11" s="41">
        <v>1.0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35" t="s">
        <v>32</v>
      </c>
      <c r="B12" s="35" t="s">
        <v>34</v>
      </c>
      <c r="C12" s="35">
        <v>10.0</v>
      </c>
      <c r="D12" s="35">
        <v>1.5120525136E10</v>
      </c>
      <c r="E12" s="35">
        <v>2.50007011E8</v>
      </c>
      <c r="F12" s="39" t="s">
        <v>53</v>
      </c>
      <c r="G12" s="41" t="str">
        <f t="shared" si="1"/>
        <v>Pending</v>
      </c>
      <c r="H12" s="44">
        <f t="shared" si="2"/>
        <v>-2</v>
      </c>
      <c r="I12" s="44">
        <f t="shared" si="3"/>
        <v>212</v>
      </c>
      <c r="J12" s="44">
        <f t="shared" si="4"/>
        <v>4</v>
      </c>
      <c r="K12" s="41"/>
      <c r="L12" s="41">
        <v>0.8095</v>
      </c>
      <c r="M12" s="41">
        <v>0.7059</v>
      </c>
      <c r="N12" s="41">
        <v>0.8636</v>
      </c>
      <c r="O12" s="41">
        <v>0.6818</v>
      </c>
      <c r="P12" s="41">
        <v>0.9048</v>
      </c>
      <c r="Q12" s="41">
        <v>0.7619</v>
      </c>
      <c r="R12" s="41">
        <v>0.7619</v>
      </c>
      <c r="S12" s="41">
        <v>0.6667</v>
      </c>
      <c r="T12" s="41">
        <v>0.9048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35" t="s">
        <v>32</v>
      </c>
      <c r="B13" s="35" t="s">
        <v>34</v>
      </c>
      <c r="C13" s="35">
        <v>11.0</v>
      </c>
      <c r="D13" s="35">
        <v>1.5120525123E10</v>
      </c>
      <c r="E13" s="35">
        <v>2.50007012E8</v>
      </c>
      <c r="F13" s="39" t="s">
        <v>59</v>
      </c>
      <c r="G13" s="41" t="str">
        <f t="shared" si="1"/>
        <v>OK</v>
      </c>
      <c r="H13" s="44">
        <f t="shared" si="2"/>
        <v>14</v>
      </c>
      <c r="I13" s="44">
        <f t="shared" si="3"/>
        <v>253</v>
      </c>
      <c r="J13" s="44">
        <f t="shared" si="4"/>
        <v>0</v>
      </c>
      <c r="K13" s="41"/>
      <c r="L13" s="41">
        <v>0.9048</v>
      </c>
      <c r="M13" s="41">
        <v>1.0</v>
      </c>
      <c r="N13" s="41">
        <v>1.0</v>
      </c>
      <c r="O13" s="41">
        <v>1.0</v>
      </c>
      <c r="P13" s="41">
        <v>0.7619</v>
      </c>
      <c r="Q13" s="41">
        <v>0.8095</v>
      </c>
      <c r="R13" s="41">
        <v>0.9524</v>
      </c>
      <c r="S13" s="41">
        <v>1.0</v>
      </c>
      <c r="T13" s="41">
        <v>1.0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35" t="s">
        <v>32</v>
      </c>
      <c r="B14" s="35" t="s">
        <v>34</v>
      </c>
      <c r="C14" s="35">
        <v>12.0</v>
      </c>
      <c r="D14" s="35">
        <v>1.5120525157E10</v>
      </c>
      <c r="E14" s="35">
        <v>2.50007013E8</v>
      </c>
      <c r="F14" s="39" t="s">
        <v>63</v>
      </c>
      <c r="G14" s="41" t="str">
        <f t="shared" si="1"/>
        <v>Pending</v>
      </c>
      <c r="H14" s="44">
        <f t="shared" si="2"/>
        <v>-11</v>
      </c>
      <c r="I14" s="44">
        <f t="shared" si="3"/>
        <v>187</v>
      </c>
      <c r="J14" s="44">
        <f t="shared" si="4"/>
        <v>29</v>
      </c>
      <c r="K14" s="41"/>
      <c r="L14" s="41">
        <v>0.0476</v>
      </c>
      <c r="M14" s="41">
        <v>0.0</v>
      </c>
      <c r="N14" s="41">
        <v>1.0</v>
      </c>
      <c r="O14" s="41">
        <v>1.0</v>
      </c>
      <c r="P14" s="41">
        <v>0.8095</v>
      </c>
      <c r="Q14" s="41">
        <v>0.9524</v>
      </c>
      <c r="R14" s="41">
        <v>0.8571</v>
      </c>
      <c r="S14" s="41">
        <v>0.8095</v>
      </c>
      <c r="T14" s="41">
        <v>0.7619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35" t="s">
        <v>32</v>
      </c>
      <c r="B15" s="35" t="s">
        <v>34</v>
      </c>
      <c r="C15" s="35">
        <v>13.0</v>
      </c>
      <c r="D15" s="35">
        <v>1.512052514E10</v>
      </c>
      <c r="E15" s="35">
        <v>2.50007014E8</v>
      </c>
      <c r="F15" s="39" t="s">
        <v>66</v>
      </c>
      <c r="G15" s="41" t="str">
        <f t="shared" si="1"/>
        <v>OK</v>
      </c>
      <c r="H15" s="44">
        <f t="shared" si="2"/>
        <v>8</v>
      </c>
      <c r="I15" s="44">
        <f t="shared" si="3"/>
        <v>238</v>
      </c>
      <c r="J15" s="44">
        <f t="shared" si="4"/>
        <v>0</v>
      </c>
      <c r="K15" s="41"/>
      <c r="L15" s="41">
        <v>0.8095</v>
      </c>
      <c r="M15" s="41">
        <v>0.8824</v>
      </c>
      <c r="N15" s="41">
        <v>0.8182</v>
      </c>
      <c r="O15" s="41">
        <v>1.0</v>
      </c>
      <c r="P15" s="41">
        <v>0.7619</v>
      </c>
      <c r="Q15" s="41">
        <v>0.9048</v>
      </c>
      <c r="R15" s="41">
        <v>0.9048</v>
      </c>
      <c r="S15" s="41">
        <v>0.9524</v>
      </c>
      <c r="T15" s="41">
        <v>0.9048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35" t="s">
        <v>32</v>
      </c>
      <c r="B16" s="35" t="s">
        <v>34</v>
      </c>
      <c r="C16" s="35">
        <v>15.0</v>
      </c>
      <c r="D16" s="35">
        <v>1.5120525015E10</v>
      </c>
      <c r="E16" s="35">
        <v>2.50007016E8</v>
      </c>
      <c r="F16" s="39" t="s">
        <v>69</v>
      </c>
      <c r="G16" s="41" t="str">
        <f t="shared" si="1"/>
        <v>OK</v>
      </c>
      <c r="H16" s="44">
        <f t="shared" si="2"/>
        <v>0</v>
      </c>
      <c r="I16" s="44">
        <f t="shared" si="3"/>
        <v>216</v>
      </c>
      <c r="J16" s="44">
        <f t="shared" si="4"/>
        <v>0</v>
      </c>
      <c r="K16" s="41"/>
      <c r="L16" s="41">
        <v>1.0</v>
      </c>
      <c r="M16" s="41">
        <v>1.0</v>
      </c>
      <c r="N16" s="41">
        <v>0.7273</v>
      </c>
      <c r="O16" s="41">
        <v>0.7273</v>
      </c>
      <c r="P16" s="41">
        <v>0.7143</v>
      </c>
      <c r="Q16" s="41">
        <v>0.8571</v>
      </c>
      <c r="R16" s="41">
        <v>0.6667</v>
      </c>
      <c r="S16" s="41">
        <v>0.8571</v>
      </c>
      <c r="T16" s="41">
        <v>0.6667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35" t="s">
        <v>32</v>
      </c>
      <c r="B17" s="35" t="s">
        <v>34</v>
      </c>
      <c r="C17" s="35">
        <v>17.0</v>
      </c>
      <c r="D17" s="35">
        <v>1.5120525033E10</v>
      </c>
      <c r="E17" s="35">
        <v>2.50007018E8</v>
      </c>
      <c r="F17" s="39" t="s">
        <v>72</v>
      </c>
      <c r="G17" s="41" t="str">
        <f t="shared" si="1"/>
        <v>OK</v>
      </c>
      <c r="H17" s="44">
        <f t="shared" si="2"/>
        <v>5</v>
      </c>
      <c r="I17" s="44">
        <f t="shared" si="3"/>
        <v>229</v>
      </c>
      <c r="J17" s="44">
        <f t="shared" si="4"/>
        <v>0</v>
      </c>
      <c r="K17" s="41"/>
      <c r="L17" s="41">
        <v>1.0</v>
      </c>
      <c r="M17" s="41">
        <v>0.8235</v>
      </c>
      <c r="N17" s="41">
        <v>0.9091</v>
      </c>
      <c r="O17" s="41">
        <v>0.9091</v>
      </c>
      <c r="P17" s="41">
        <v>0.8095</v>
      </c>
      <c r="Q17" s="41">
        <v>0.8571</v>
      </c>
      <c r="R17" s="41">
        <v>0.7143</v>
      </c>
      <c r="S17" s="41">
        <v>0.8095</v>
      </c>
      <c r="T17" s="41">
        <v>0.8095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35" t="s">
        <v>32</v>
      </c>
      <c r="B18" s="35" t="s">
        <v>34</v>
      </c>
      <c r="C18" s="35">
        <v>18.0</v>
      </c>
      <c r="D18" s="35">
        <v>1.5120525083E10</v>
      </c>
      <c r="E18" s="35">
        <v>2.50007019E8</v>
      </c>
      <c r="F18" s="39" t="s">
        <v>75</v>
      </c>
      <c r="G18" s="41" t="str">
        <f t="shared" si="1"/>
        <v>OK</v>
      </c>
      <c r="H18" s="44">
        <f t="shared" si="2"/>
        <v>6</v>
      </c>
      <c r="I18" s="44">
        <f t="shared" si="3"/>
        <v>233</v>
      </c>
      <c r="J18" s="44">
        <f t="shared" si="4"/>
        <v>0</v>
      </c>
      <c r="K18" s="41"/>
      <c r="L18" s="41">
        <v>0.1905</v>
      </c>
      <c r="M18" s="41">
        <v>0.9412</v>
      </c>
      <c r="N18" s="41">
        <v>1.0</v>
      </c>
      <c r="O18" s="41">
        <v>0.8636</v>
      </c>
      <c r="P18" s="41">
        <v>0.8571</v>
      </c>
      <c r="Q18" s="41">
        <v>1.0</v>
      </c>
      <c r="R18" s="41">
        <v>1.0</v>
      </c>
      <c r="S18" s="41">
        <v>1.0</v>
      </c>
      <c r="T18" s="41">
        <v>0.9048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35" t="s">
        <v>32</v>
      </c>
      <c r="B19" s="35" t="s">
        <v>34</v>
      </c>
      <c r="C19" s="35">
        <v>19.0</v>
      </c>
      <c r="D19" s="35">
        <v>1.5120525014E10</v>
      </c>
      <c r="E19" s="35">
        <v>2.5000702E8</v>
      </c>
      <c r="F19" s="39" t="s">
        <v>78</v>
      </c>
      <c r="G19" s="41" t="str">
        <f t="shared" si="1"/>
        <v>Pending</v>
      </c>
      <c r="H19" s="44">
        <f t="shared" si="2"/>
        <v>-6</v>
      </c>
      <c r="I19" s="44">
        <f t="shared" si="3"/>
        <v>199</v>
      </c>
      <c r="J19" s="44">
        <f t="shared" si="4"/>
        <v>17</v>
      </c>
      <c r="K19" s="41"/>
      <c r="L19" s="41">
        <v>0.9048</v>
      </c>
      <c r="M19" s="41">
        <v>0.9412</v>
      </c>
      <c r="N19" s="41">
        <v>0.7727</v>
      </c>
      <c r="O19" s="41">
        <v>1.0</v>
      </c>
      <c r="P19" s="41">
        <v>0.9524</v>
      </c>
      <c r="Q19" s="41">
        <v>0.0476</v>
      </c>
      <c r="R19" s="41">
        <v>0.3333</v>
      </c>
      <c r="S19" s="41">
        <v>0.7619</v>
      </c>
      <c r="T19" s="41">
        <v>0.9048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35" t="s">
        <v>32</v>
      </c>
      <c r="B20" s="35" t="s">
        <v>34</v>
      </c>
      <c r="C20" s="35">
        <v>20.0</v>
      </c>
      <c r="D20" s="35">
        <v>1.5120525021E10</v>
      </c>
      <c r="E20" s="35">
        <v>2.50007021E8</v>
      </c>
      <c r="F20" s="39" t="s">
        <v>81</v>
      </c>
      <c r="G20" s="41" t="str">
        <f t="shared" si="1"/>
        <v>OK</v>
      </c>
      <c r="H20" s="44">
        <f t="shared" si="2"/>
        <v>8</v>
      </c>
      <c r="I20" s="44">
        <f t="shared" si="3"/>
        <v>238</v>
      </c>
      <c r="J20" s="44">
        <f t="shared" si="4"/>
        <v>0</v>
      </c>
      <c r="K20" s="41"/>
      <c r="L20" s="41">
        <v>1.0</v>
      </c>
      <c r="M20" s="41">
        <v>0.7059</v>
      </c>
      <c r="N20" s="41">
        <v>0.9545</v>
      </c>
      <c r="O20" s="41">
        <v>1.0</v>
      </c>
      <c r="P20" s="41">
        <v>0.8095</v>
      </c>
      <c r="Q20" s="41">
        <v>1.0</v>
      </c>
      <c r="R20" s="41">
        <v>0.9524</v>
      </c>
      <c r="S20" s="41">
        <v>0.619</v>
      </c>
      <c r="T20" s="41">
        <v>0.9048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35" t="s">
        <v>32</v>
      </c>
      <c r="B21" s="35" t="s">
        <v>34</v>
      </c>
      <c r="C21" s="35">
        <v>21.0</v>
      </c>
      <c r="D21" s="35">
        <v>1.5120525035E10</v>
      </c>
      <c r="E21" s="35">
        <v>2.50007022E8</v>
      </c>
      <c r="F21" s="39" t="s">
        <v>84</v>
      </c>
      <c r="G21" s="41" t="str">
        <f t="shared" si="1"/>
        <v>OK</v>
      </c>
      <c r="H21" s="44">
        <f t="shared" si="2"/>
        <v>10</v>
      </c>
      <c r="I21" s="44">
        <f t="shared" si="3"/>
        <v>244</v>
      </c>
      <c r="J21" s="44">
        <f t="shared" si="4"/>
        <v>0</v>
      </c>
      <c r="K21" s="41"/>
      <c r="L21" s="41">
        <v>0.9048</v>
      </c>
      <c r="M21" s="41">
        <v>0.9412</v>
      </c>
      <c r="N21" s="41">
        <v>1.0</v>
      </c>
      <c r="O21" s="41">
        <v>0.9091</v>
      </c>
      <c r="P21" s="41">
        <v>0.9048</v>
      </c>
      <c r="Q21" s="41">
        <v>0.619</v>
      </c>
      <c r="R21" s="41">
        <v>0.9048</v>
      </c>
      <c r="S21" s="41">
        <v>0.9524</v>
      </c>
      <c r="T21" s="41">
        <v>1.0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customHeight="1">
      <c r="A22" s="35" t="s">
        <v>32</v>
      </c>
      <c r="B22" s="35" t="s">
        <v>34</v>
      </c>
      <c r="C22" s="35">
        <v>22.0</v>
      </c>
      <c r="D22" s="35">
        <v>1.5120525022E10</v>
      </c>
      <c r="E22" s="35">
        <v>2.50007023E8</v>
      </c>
      <c r="F22" s="39" t="s">
        <v>87</v>
      </c>
      <c r="G22" s="41" t="str">
        <f t="shared" si="1"/>
        <v>OK</v>
      </c>
      <c r="H22" s="44">
        <f t="shared" si="2"/>
        <v>2</v>
      </c>
      <c r="I22" s="44">
        <f t="shared" si="3"/>
        <v>222</v>
      </c>
      <c r="J22" s="44">
        <f t="shared" si="4"/>
        <v>0</v>
      </c>
      <c r="K22" s="41"/>
      <c r="L22" s="41">
        <v>1.0</v>
      </c>
      <c r="M22" s="41">
        <v>0.9412</v>
      </c>
      <c r="N22" s="41">
        <v>0.9545</v>
      </c>
      <c r="O22" s="41">
        <v>0.7273</v>
      </c>
      <c r="P22" s="41">
        <v>1.0</v>
      </c>
      <c r="Q22" s="41">
        <v>0.7143</v>
      </c>
      <c r="R22" s="41">
        <v>0.5238</v>
      </c>
      <c r="S22" s="41">
        <v>0.8095</v>
      </c>
      <c r="T22" s="41">
        <v>0.7143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customHeight="1">
      <c r="A23" s="35" t="s">
        <v>32</v>
      </c>
      <c r="B23" s="35" t="s">
        <v>34</v>
      </c>
      <c r="C23" s="35">
        <v>23.0</v>
      </c>
      <c r="D23" s="35">
        <v>1.5120525102E10</v>
      </c>
      <c r="E23" s="35">
        <v>2.50007024E8</v>
      </c>
      <c r="F23" s="39" t="s">
        <v>90</v>
      </c>
      <c r="G23" s="41" t="str">
        <f t="shared" si="1"/>
        <v>OK</v>
      </c>
      <c r="H23" s="44">
        <f t="shared" si="2"/>
        <v>11</v>
      </c>
      <c r="I23" s="44">
        <f t="shared" si="3"/>
        <v>244</v>
      </c>
      <c r="J23" s="44">
        <f t="shared" si="4"/>
        <v>0</v>
      </c>
      <c r="K23" s="41"/>
      <c r="L23" s="41">
        <v>1.0</v>
      </c>
      <c r="M23" s="41">
        <v>0.7059</v>
      </c>
      <c r="N23" s="41">
        <v>0.8182</v>
      </c>
      <c r="O23" s="41">
        <v>0.9091</v>
      </c>
      <c r="P23" s="41">
        <v>0.8095</v>
      </c>
      <c r="Q23" s="41">
        <v>0.9048</v>
      </c>
      <c r="R23" s="41">
        <v>1.0</v>
      </c>
      <c r="S23" s="41">
        <v>1.0</v>
      </c>
      <c r="T23" s="41">
        <v>1.0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customHeight="1">
      <c r="A24" s="35" t="s">
        <v>32</v>
      </c>
      <c r="B24" s="35" t="s">
        <v>34</v>
      </c>
      <c r="C24" s="35">
        <v>24.0</v>
      </c>
      <c r="D24" s="35">
        <v>1.5120525131E10</v>
      </c>
      <c r="E24" s="35">
        <v>2.50007025E8</v>
      </c>
      <c r="F24" s="39" t="s">
        <v>93</v>
      </c>
      <c r="G24" s="41" t="str">
        <f t="shared" si="1"/>
        <v>OK</v>
      </c>
      <c r="H24" s="44">
        <f t="shared" si="2"/>
        <v>9</v>
      </c>
      <c r="I24" s="44">
        <f t="shared" si="3"/>
        <v>241</v>
      </c>
      <c r="J24" s="44">
        <f t="shared" si="4"/>
        <v>0</v>
      </c>
      <c r="K24" s="41"/>
      <c r="L24" s="41">
        <v>0.8095</v>
      </c>
      <c r="M24" s="41">
        <v>1.0</v>
      </c>
      <c r="N24" s="41">
        <v>1.0</v>
      </c>
      <c r="O24" s="41">
        <v>0.9545</v>
      </c>
      <c r="P24" s="41">
        <v>0.8095</v>
      </c>
      <c r="Q24" s="41">
        <v>0.9048</v>
      </c>
      <c r="R24" s="41">
        <v>0.8095</v>
      </c>
      <c r="S24" s="41">
        <v>0.8571</v>
      </c>
      <c r="T24" s="41">
        <v>0.9048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customHeight="1">
      <c r="A25" s="35" t="s">
        <v>32</v>
      </c>
      <c r="B25" s="35" t="s">
        <v>34</v>
      </c>
      <c r="C25" s="35">
        <v>25.0</v>
      </c>
      <c r="D25" s="35">
        <v>1.512052509E10</v>
      </c>
      <c r="E25" s="35">
        <v>2.50007026E8</v>
      </c>
      <c r="F25" s="39" t="s">
        <v>96</v>
      </c>
      <c r="G25" s="41" t="str">
        <f t="shared" si="1"/>
        <v>OK</v>
      </c>
      <c r="H25" s="44">
        <f t="shared" si="2"/>
        <v>19</v>
      </c>
      <c r="I25" s="44">
        <f t="shared" si="3"/>
        <v>269</v>
      </c>
      <c r="J25" s="44">
        <f t="shared" si="4"/>
        <v>0</v>
      </c>
      <c r="K25" s="41"/>
      <c r="L25" s="41">
        <v>1.0</v>
      </c>
      <c r="M25" s="41">
        <v>1.0</v>
      </c>
      <c r="N25" s="41">
        <v>0.9545</v>
      </c>
      <c r="O25" s="41">
        <v>1.0</v>
      </c>
      <c r="P25" s="41">
        <v>1.0</v>
      </c>
      <c r="Q25" s="41">
        <v>1.0</v>
      </c>
      <c r="R25" s="41">
        <v>1.0</v>
      </c>
      <c r="S25" s="41">
        <v>1.0</v>
      </c>
      <c r="T25" s="41">
        <v>1.0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customHeight="1">
      <c r="A26" s="35" t="s">
        <v>32</v>
      </c>
      <c r="B26" s="35" t="s">
        <v>34</v>
      </c>
      <c r="C26" s="35">
        <v>26.0</v>
      </c>
      <c r="D26" s="35">
        <v>1.5120525061E10</v>
      </c>
      <c r="E26" s="35">
        <v>2.50007027E8</v>
      </c>
      <c r="F26" s="39" t="s">
        <v>99</v>
      </c>
      <c r="G26" s="41" t="str">
        <f t="shared" si="1"/>
        <v>OK</v>
      </c>
      <c r="H26" s="44">
        <f t="shared" si="2"/>
        <v>15</v>
      </c>
      <c r="I26" s="44">
        <f t="shared" si="3"/>
        <v>255</v>
      </c>
      <c r="J26" s="44">
        <f t="shared" si="4"/>
        <v>0</v>
      </c>
      <c r="K26" s="41"/>
      <c r="L26" s="41">
        <v>0.9524</v>
      </c>
      <c r="M26" s="41">
        <v>0.9412</v>
      </c>
      <c r="N26" s="41">
        <v>1.0</v>
      </c>
      <c r="O26" s="41">
        <v>1.0</v>
      </c>
      <c r="P26" s="41">
        <v>0.8095</v>
      </c>
      <c r="Q26" s="41">
        <v>0.9524</v>
      </c>
      <c r="R26" s="41">
        <v>1.0</v>
      </c>
      <c r="S26" s="41">
        <v>1.0</v>
      </c>
      <c r="T26" s="41">
        <v>0.8571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customHeight="1">
      <c r="A27" s="35" t="s">
        <v>32</v>
      </c>
      <c r="B27" s="35" t="s">
        <v>34</v>
      </c>
      <c r="C27" s="35">
        <v>27.0</v>
      </c>
      <c r="D27" s="35">
        <v>1.5120525018E10</v>
      </c>
      <c r="E27" s="35">
        <v>2.50007028E8</v>
      </c>
      <c r="F27" s="39" t="s">
        <v>101</v>
      </c>
      <c r="G27" s="41" t="str">
        <f t="shared" si="1"/>
        <v>OK</v>
      </c>
      <c r="H27" s="44">
        <f t="shared" si="2"/>
        <v>6</v>
      </c>
      <c r="I27" s="44">
        <f t="shared" si="3"/>
        <v>232</v>
      </c>
      <c r="J27" s="44">
        <f t="shared" si="4"/>
        <v>0</v>
      </c>
      <c r="K27" s="41"/>
      <c r="L27" s="41">
        <v>0.9048</v>
      </c>
      <c r="M27" s="41">
        <v>1.0</v>
      </c>
      <c r="N27" s="41">
        <v>0.9091</v>
      </c>
      <c r="O27" s="41">
        <v>0.7727</v>
      </c>
      <c r="P27" s="41">
        <v>0.9524</v>
      </c>
      <c r="Q27" s="41">
        <v>0.6667</v>
      </c>
      <c r="R27" s="41">
        <v>0.8571</v>
      </c>
      <c r="S27" s="41">
        <v>0.8095</v>
      </c>
      <c r="T27" s="41">
        <v>0.8571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customHeight="1">
      <c r="A28" s="35" t="s">
        <v>32</v>
      </c>
      <c r="B28" s="35" t="s">
        <v>34</v>
      </c>
      <c r="C28" s="35">
        <v>28.0</v>
      </c>
      <c r="D28" s="35">
        <v>1.5120525068E10</v>
      </c>
      <c r="E28" s="35">
        <v>2.50007029E8</v>
      </c>
      <c r="F28" s="39" t="s">
        <v>106</v>
      </c>
      <c r="G28" s="41" t="str">
        <f t="shared" si="1"/>
        <v>OK</v>
      </c>
      <c r="H28" s="44">
        <f t="shared" si="2"/>
        <v>2</v>
      </c>
      <c r="I28" s="44">
        <f t="shared" si="3"/>
        <v>221</v>
      </c>
      <c r="J28" s="44">
        <f t="shared" si="4"/>
        <v>0</v>
      </c>
      <c r="K28" s="41"/>
      <c r="L28" s="41">
        <v>1.0</v>
      </c>
      <c r="M28" s="41">
        <v>0.8235</v>
      </c>
      <c r="N28" s="41">
        <v>1.0</v>
      </c>
      <c r="O28" s="41">
        <v>0.7727</v>
      </c>
      <c r="P28" s="41">
        <v>0.5714</v>
      </c>
      <c r="Q28" s="41">
        <v>0.9048</v>
      </c>
      <c r="R28" s="41">
        <v>1.0</v>
      </c>
      <c r="S28" s="41">
        <v>0.8095</v>
      </c>
      <c r="T28" s="41">
        <v>0.4762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customHeight="1">
      <c r="A29" s="35" t="s">
        <v>32</v>
      </c>
      <c r="B29" s="35" t="s">
        <v>34</v>
      </c>
      <c r="C29" s="35">
        <v>29.0</v>
      </c>
      <c r="D29" s="35">
        <v>1.5120525042E10</v>
      </c>
      <c r="E29" s="35">
        <v>2.5000703E8</v>
      </c>
      <c r="F29" s="39" t="s">
        <v>107</v>
      </c>
      <c r="G29" s="41" t="str">
        <f t="shared" si="1"/>
        <v>OK</v>
      </c>
      <c r="H29" s="44">
        <f t="shared" si="2"/>
        <v>15</v>
      </c>
      <c r="I29" s="44">
        <f t="shared" si="3"/>
        <v>255</v>
      </c>
      <c r="J29" s="44">
        <f t="shared" si="4"/>
        <v>0</v>
      </c>
      <c r="K29" s="41"/>
      <c r="L29" s="41">
        <v>1.0</v>
      </c>
      <c r="M29" s="41">
        <v>0.8824</v>
      </c>
      <c r="N29" s="41">
        <v>0.8636</v>
      </c>
      <c r="O29" s="41">
        <v>1.0</v>
      </c>
      <c r="P29" s="41">
        <v>1.0</v>
      </c>
      <c r="Q29" s="41">
        <v>0.9048</v>
      </c>
      <c r="R29" s="41">
        <v>0.9048</v>
      </c>
      <c r="S29" s="41">
        <v>1.0</v>
      </c>
      <c r="T29" s="41">
        <v>0.9524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customHeight="1">
      <c r="A30" s="35" t="s">
        <v>32</v>
      </c>
      <c r="B30" s="35" t="s">
        <v>34</v>
      </c>
      <c r="C30" s="35">
        <v>34.0</v>
      </c>
      <c r="D30" s="35">
        <v>1.512052513E10</v>
      </c>
      <c r="E30" s="35">
        <v>2.50007035E8</v>
      </c>
      <c r="F30" s="39" t="s">
        <v>109</v>
      </c>
      <c r="G30" s="41" t="str">
        <f t="shared" si="1"/>
        <v>OK</v>
      </c>
      <c r="H30" s="44">
        <f t="shared" si="2"/>
        <v>11</v>
      </c>
      <c r="I30" s="44">
        <f t="shared" si="3"/>
        <v>246</v>
      </c>
      <c r="J30" s="44">
        <f t="shared" si="4"/>
        <v>0</v>
      </c>
      <c r="K30" s="41"/>
      <c r="L30" s="41">
        <v>0.8571</v>
      </c>
      <c r="M30" s="41">
        <v>0.9412</v>
      </c>
      <c r="N30" s="41">
        <v>0.7727</v>
      </c>
      <c r="O30" s="41">
        <v>0.9091</v>
      </c>
      <c r="P30" s="41">
        <v>1.0</v>
      </c>
      <c r="Q30" s="41">
        <v>0.8095</v>
      </c>
      <c r="R30" s="41">
        <v>0.9524</v>
      </c>
      <c r="S30" s="41">
        <v>1.0</v>
      </c>
      <c r="T30" s="41">
        <v>0.9524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customHeight="1">
      <c r="A31" s="35" t="s">
        <v>32</v>
      </c>
      <c r="B31" s="35" t="s">
        <v>34</v>
      </c>
      <c r="C31" s="35">
        <v>35.0</v>
      </c>
      <c r="D31" s="35">
        <v>1.5120525073E10</v>
      </c>
      <c r="E31" s="35">
        <v>2.50007036E8</v>
      </c>
      <c r="F31" s="39" t="s">
        <v>111</v>
      </c>
      <c r="G31" s="41" t="str">
        <f t="shared" si="1"/>
        <v>Pending</v>
      </c>
      <c r="H31" s="44">
        <f t="shared" si="2"/>
        <v>-77</v>
      </c>
      <c r="I31" s="44">
        <f t="shared" si="3"/>
        <v>9</v>
      </c>
      <c r="J31" s="44">
        <f t="shared" si="4"/>
        <v>207</v>
      </c>
      <c r="K31" s="41"/>
      <c r="L31" s="41">
        <v>0.0</v>
      </c>
      <c r="M31" s="41">
        <v>0.0</v>
      </c>
      <c r="N31" s="41">
        <v>0.0455</v>
      </c>
      <c r="O31" s="41">
        <v>0.0</v>
      </c>
      <c r="P31" s="41">
        <v>0.0</v>
      </c>
      <c r="Q31" s="41">
        <v>0.0476</v>
      </c>
      <c r="R31" s="41">
        <v>0.0476</v>
      </c>
      <c r="S31" s="41">
        <v>0.0</v>
      </c>
      <c r="T31" s="41">
        <v>0.1429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customHeight="1">
      <c r="A32" s="35" t="s">
        <v>32</v>
      </c>
      <c r="B32" s="35" t="s">
        <v>34</v>
      </c>
      <c r="C32" s="35">
        <v>36.0</v>
      </c>
      <c r="D32" s="35">
        <v>1.5120525039E10</v>
      </c>
      <c r="E32" s="35">
        <v>2.50007037E8</v>
      </c>
      <c r="F32" s="39" t="s">
        <v>113</v>
      </c>
      <c r="G32" s="41" t="str">
        <f t="shared" si="1"/>
        <v>Pending</v>
      </c>
      <c r="H32" s="44">
        <f t="shared" si="2"/>
        <v>-2</v>
      </c>
      <c r="I32" s="44">
        <f t="shared" si="3"/>
        <v>212</v>
      </c>
      <c r="J32" s="44">
        <f t="shared" si="4"/>
        <v>4</v>
      </c>
      <c r="K32" s="41"/>
      <c r="L32" s="41">
        <v>0.7619</v>
      </c>
      <c r="M32" s="41">
        <v>0.9412</v>
      </c>
      <c r="N32" s="41">
        <v>0.7727</v>
      </c>
      <c r="O32" s="41">
        <v>0.7273</v>
      </c>
      <c r="P32" s="41">
        <v>0.6667</v>
      </c>
      <c r="Q32" s="41">
        <v>0.7619</v>
      </c>
      <c r="R32" s="41">
        <v>1.0</v>
      </c>
      <c r="S32" s="41">
        <v>0.7619</v>
      </c>
      <c r="T32" s="41">
        <v>0.6667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customHeight="1">
      <c r="A33" s="35" t="s">
        <v>32</v>
      </c>
      <c r="B33" s="35" t="s">
        <v>34</v>
      </c>
      <c r="C33" s="35">
        <v>37.0</v>
      </c>
      <c r="D33" s="35">
        <v>1.5120525062E10</v>
      </c>
      <c r="E33" s="35">
        <v>2.50007038E8</v>
      </c>
      <c r="F33" s="39" t="s">
        <v>115</v>
      </c>
      <c r="G33" s="41" t="str">
        <f t="shared" si="1"/>
        <v>OK</v>
      </c>
      <c r="H33" s="44">
        <f t="shared" si="2"/>
        <v>19</v>
      </c>
      <c r="I33" s="44">
        <f t="shared" si="3"/>
        <v>269</v>
      </c>
      <c r="J33" s="44">
        <f t="shared" si="4"/>
        <v>0</v>
      </c>
      <c r="K33" s="41"/>
      <c r="L33" s="41">
        <v>1.0</v>
      </c>
      <c r="M33" s="41">
        <v>1.0</v>
      </c>
      <c r="N33" s="41">
        <v>1.0</v>
      </c>
      <c r="O33" s="41">
        <v>1.0</v>
      </c>
      <c r="P33" s="41">
        <v>1.0</v>
      </c>
      <c r="Q33" s="41">
        <v>1.0</v>
      </c>
      <c r="R33" s="41">
        <v>0.9524</v>
      </c>
      <c r="S33" s="41">
        <v>1.0</v>
      </c>
      <c r="T33" s="41">
        <v>1.0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customHeight="1">
      <c r="A34" s="35" t="s">
        <v>32</v>
      </c>
      <c r="B34" s="35" t="s">
        <v>34</v>
      </c>
      <c r="C34" s="35">
        <v>38.0</v>
      </c>
      <c r="D34" s="35">
        <v>1.5120525101E10</v>
      </c>
      <c r="E34" s="35">
        <v>2.50007039E8</v>
      </c>
      <c r="F34" s="39" t="s">
        <v>118</v>
      </c>
      <c r="G34" s="41" t="str">
        <f t="shared" si="1"/>
        <v>OK</v>
      </c>
      <c r="H34" s="44">
        <f t="shared" si="2"/>
        <v>19</v>
      </c>
      <c r="I34" s="44">
        <f t="shared" si="3"/>
        <v>267</v>
      </c>
      <c r="J34" s="44">
        <f t="shared" si="4"/>
        <v>0</v>
      </c>
      <c r="K34" s="41"/>
      <c r="L34" s="41">
        <v>1.0</v>
      </c>
      <c r="M34" s="41">
        <v>1.0</v>
      </c>
      <c r="N34" s="41">
        <v>1.0</v>
      </c>
      <c r="O34" s="41">
        <v>1.0</v>
      </c>
      <c r="P34" s="41">
        <v>1.0</v>
      </c>
      <c r="Q34" s="41">
        <v>1.0</v>
      </c>
      <c r="R34" s="41">
        <v>1.0</v>
      </c>
      <c r="S34" s="41">
        <v>0.9524</v>
      </c>
      <c r="T34" s="41">
        <v>0.9524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customHeight="1">
      <c r="A35" s="35" t="s">
        <v>32</v>
      </c>
      <c r="B35" s="35" t="s">
        <v>121</v>
      </c>
      <c r="C35" s="35">
        <v>40.0</v>
      </c>
      <c r="D35" s="35">
        <v>1.5120525055E10</v>
      </c>
      <c r="E35" s="35">
        <v>2.50007041E8</v>
      </c>
      <c r="F35" s="39" t="s">
        <v>122</v>
      </c>
      <c r="G35" s="41" t="str">
        <f t="shared" si="1"/>
        <v>Pending</v>
      </c>
      <c r="H35" s="44">
        <f t="shared" si="2"/>
        <v>-4</v>
      </c>
      <c r="I35" s="44">
        <f t="shared" si="3"/>
        <v>205</v>
      </c>
      <c r="J35" s="44">
        <f t="shared" si="4"/>
        <v>11</v>
      </c>
      <c r="K35" s="41"/>
      <c r="L35" s="41">
        <v>0.0</v>
      </c>
      <c r="M35" s="41">
        <v>0.0</v>
      </c>
      <c r="N35" s="41">
        <v>0.8182</v>
      </c>
      <c r="O35" s="41">
        <v>1.0</v>
      </c>
      <c r="P35" s="41">
        <v>1.0</v>
      </c>
      <c r="Q35" s="41">
        <v>1.0</v>
      </c>
      <c r="R35" s="41">
        <v>1.0</v>
      </c>
      <c r="S35" s="41">
        <v>1.0</v>
      </c>
      <c r="T35" s="41">
        <v>1.0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customHeight="1">
      <c r="A36" s="35" t="s">
        <v>32</v>
      </c>
      <c r="B36" s="35" t="s">
        <v>121</v>
      </c>
      <c r="C36" s="35">
        <v>41.0</v>
      </c>
      <c r="D36" s="35">
        <v>1.5120525085E10</v>
      </c>
      <c r="E36" s="35">
        <v>2.50007043E8</v>
      </c>
      <c r="F36" s="39" t="s">
        <v>125</v>
      </c>
      <c r="G36" s="41" t="str">
        <f t="shared" si="1"/>
        <v>Pending</v>
      </c>
      <c r="H36" s="44">
        <f t="shared" si="2"/>
        <v>-32</v>
      </c>
      <c r="I36" s="44">
        <f t="shared" si="3"/>
        <v>129</v>
      </c>
      <c r="J36" s="44">
        <f t="shared" si="4"/>
        <v>87</v>
      </c>
      <c r="K36" s="41"/>
      <c r="L36" s="41">
        <v>0.0</v>
      </c>
      <c r="M36" s="41">
        <v>0.0</v>
      </c>
      <c r="N36" s="41">
        <v>0.7273</v>
      </c>
      <c r="O36" s="41">
        <v>0.8182</v>
      </c>
      <c r="P36" s="41">
        <v>0.5714</v>
      </c>
      <c r="Q36" s="41">
        <v>0.7143</v>
      </c>
      <c r="R36" s="41">
        <v>0.6667</v>
      </c>
      <c r="S36" s="41">
        <v>0.0</v>
      </c>
      <c r="T36" s="41">
        <v>0.8095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customHeight="1">
      <c r="A37" s="35" t="s">
        <v>32</v>
      </c>
      <c r="B37" s="35" t="s">
        <v>121</v>
      </c>
      <c r="C37" s="35">
        <v>42.0</v>
      </c>
      <c r="D37" s="35">
        <v>1.5120525075E10</v>
      </c>
      <c r="E37" s="35">
        <v>2.50007044E8</v>
      </c>
      <c r="F37" s="39" t="s">
        <v>128</v>
      </c>
      <c r="G37" s="41" t="str">
        <f t="shared" si="1"/>
        <v>Pending</v>
      </c>
      <c r="H37" s="44">
        <f t="shared" si="2"/>
        <v>-9</v>
      </c>
      <c r="I37" s="44">
        <f t="shared" si="3"/>
        <v>191</v>
      </c>
      <c r="J37" s="44">
        <f t="shared" si="4"/>
        <v>25</v>
      </c>
      <c r="K37" s="41"/>
      <c r="L37" s="41">
        <v>0.0</v>
      </c>
      <c r="M37" s="41">
        <v>0.6471</v>
      </c>
      <c r="N37" s="41">
        <v>0.9091</v>
      </c>
      <c r="O37" s="41">
        <v>1.0</v>
      </c>
      <c r="P37" s="41">
        <v>0.5714</v>
      </c>
      <c r="Q37" s="41">
        <v>0.8095</v>
      </c>
      <c r="R37" s="41">
        <v>0.8571</v>
      </c>
      <c r="S37" s="41">
        <v>0.7619</v>
      </c>
      <c r="T37" s="41">
        <v>0.8095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customHeight="1">
      <c r="A38" s="35" t="s">
        <v>32</v>
      </c>
      <c r="B38" s="35" t="s">
        <v>121</v>
      </c>
      <c r="C38" s="35">
        <v>43.0</v>
      </c>
      <c r="D38" s="35">
        <v>1.512052504E10</v>
      </c>
      <c r="E38" s="35">
        <v>2.50007045E8</v>
      </c>
      <c r="F38" s="39" t="s">
        <v>131</v>
      </c>
      <c r="G38" s="41" t="str">
        <f t="shared" si="1"/>
        <v>OK</v>
      </c>
      <c r="H38" s="44">
        <f t="shared" si="2"/>
        <v>14</v>
      </c>
      <c r="I38" s="44">
        <f t="shared" si="3"/>
        <v>253</v>
      </c>
      <c r="J38" s="44">
        <f t="shared" si="4"/>
        <v>0</v>
      </c>
      <c r="K38" s="41"/>
      <c r="L38" s="41">
        <v>1.0</v>
      </c>
      <c r="M38" s="41">
        <v>1.0</v>
      </c>
      <c r="N38" s="41">
        <v>1.0</v>
      </c>
      <c r="O38" s="41">
        <v>1.0</v>
      </c>
      <c r="P38" s="41">
        <v>0.9048</v>
      </c>
      <c r="Q38" s="41">
        <v>0.9048</v>
      </c>
      <c r="R38" s="41">
        <v>0.9048</v>
      </c>
      <c r="S38" s="41">
        <v>0.8095</v>
      </c>
      <c r="T38" s="41">
        <v>0.9048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customHeight="1">
      <c r="A39" s="35" t="s">
        <v>32</v>
      </c>
      <c r="B39" s="35" t="s">
        <v>121</v>
      </c>
      <c r="C39" s="35">
        <v>44.0</v>
      </c>
      <c r="D39" s="35">
        <v>1.5120525027E10</v>
      </c>
      <c r="E39" s="35">
        <v>2.50007046E8</v>
      </c>
      <c r="F39" s="39" t="s">
        <v>134</v>
      </c>
      <c r="G39" s="41" t="str">
        <f t="shared" si="1"/>
        <v>OK</v>
      </c>
      <c r="H39" s="44">
        <f t="shared" si="2"/>
        <v>16</v>
      </c>
      <c r="I39" s="44">
        <f t="shared" si="3"/>
        <v>259</v>
      </c>
      <c r="J39" s="44">
        <f t="shared" si="4"/>
        <v>0</v>
      </c>
      <c r="K39" s="41"/>
      <c r="L39" s="41">
        <v>1.0</v>
      </c>
      <c r="M39" s="41">
        <v>1.0</v>
      </c>
      <c r="N39" s="41">
        <v>1.0</v>
      </c>
      <c r="O39" s="41">
        <v>0.8182</v>
      </c>
      <c r="P39" s="41">
        <v>1.0</v>
      </c>
      <c r="Q39" s="41">
        <v>1.0</v>
      </c>
      <c r="R39" s="41">
        <v>1.0</v>
      </c>
      <c r="S39" s="41">
        <v>0.9524</v>
      </c>
      <c r="T39" s="41">
        <v>0.8571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customHeight="1">
      <c r="A40" s="35" t="s">
        <v>32</v>
      </c>
      <c r="B40" s="35" t="s">
        <v>121</v>
      </c>
      <c r="C40" s="35">
        <v>45.0</v>
      </c>
      <c r="D40" s="35">
        <v>1.5120525011E10</v>
      </c>
      <c r="E40" s="35">
        <v>2.50007047E8</v>
      </c>
      <c r="F40" s="39" t="s">
        <v>136</v>
      </c>
      <c r="G40" s="41" t="str">
        <f t="shared" si="1"/>
        <v>OK</v>
      </c>
      <c r="H40" s="44">
        <f t="shared" si="2"/>
        <v>16</v>
      </c>
      <c r="I40" s="44">
        <f t="shared" si="3"/>
        <v>259</v>
      </c>
      <c r="J40" s="44">
        <f t="shared" si="4"/>
        <v>0</v>
      </c>
      <c r="K40" s="41"/>
      <c r="L40" s="41">
        <v>1.0</v>
      </c>
      <c r="M40" s="41">
        <v>1.0</v>
      </c>
      <c r="N40" s="41">
        <v>1.0</v>
      </c>
      <c r="O40" s="41">
        <v>0.9545</v>
      </c>
      <c r="P40" s="41">
        <v>1.0</v>
      </c>
      <c r="Q40" s="41">
        <v>0.9048</v>
      </c>
      <c r="R40" s="41">
        <v>0.9524</v>
      </c>
      <c r="S40" s="41">
        <v>0.8571</v>
      </c>
      <c r="T40" s="41">
        <v>0.9524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customHeight="1">
      <c r="A41" s="35" t="s">
        <v>32</v>
      </c>
      <c r="B41" s="35" t="s">
        <v>121</v>
      </c>
      <c r="C41" s="35">
        <v>46.0</v>
      </c>
      <c r="D41" s="35">
        <v>1.5120525149E10</v>
      </c>
      <c r="E41" s="35">
        <v>2.50007048E8</v>
      </c>
      <c r="F41" s="39" t="s">
        <v>138</v>
      </c>
      <c r="G41" s="41" t="str">
        <f t="shared" si="1"/>
        <v>Pending</v>
      </c>
      <c r="H41" s="44">
        <f t="shared" si="2"/>
        <v>-10</v>
      </c>
      <c r="I41" s="44">
        <f t="shared" si="3"/>
        <v>190</v>
      </c>
      <c r="J41" s="44">
        <f t="shared" si="4"/>
        <v>26</v>
      </c>
      <c r="K41" s="41"/>
      <c r="L41" s="41">
        <v>0.619</v>
      </c>
      <c r="M41" s="41">
        <v>0.8824</v>
      </c>
      <c r="N41" s="41">
        <v>0.7273</v>
      </c>
      <c r="O41" s="41">
        <v>0.0</v>
      </c>
      <c r="P41" s="41">
        <v>1.0</v>
      </c>
      <c r="Q41" s="41">
        <v>0.7619</v>
      </c>
      <c r="R41" s="41">
        <v>1.0</v>
      </c>
      <c r="S41" s="41">
        <v>0.6667</v>
      </c>
      <c r="T41" s="41">
        <v>0.6667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customHeight="1">
      <c r="A42" s="35" t="s">
        <v>32</v>
      </c>
      <c r="B42" s="35" t="s">
        <v>121</v>
      </c>
      <c r="C42" s="35">
        <v>47.0</v>
      </c>
      <c r="D42" s="35">
        <v>1.5120525076E10</v>
      </c>
      <c r="E42" s="35">
        <v>2.50007088E8</v>
      </c>
      <c r="F42" s="39" t="s">
        <v>140</v>
      </c>
      <c r="G42" s="41" t="str">
        <f t="shared" si="1"/>
        <v>OK</v>
      </c>
      <c r="H42" s="44">
        <f t="shared" si="2"/>
        <v>10</v>
      </c>
      <c r="I42" s="44">
        <f t="shared" si="3"/>
        <v>242</v>
      </c>
      <c r="J42" s="44">
        <f t="shared" si="4"/>
        <v>0</v>
      </c>
      <c r="K42" s="41"/>
      <c r="L42" s="41">
        <v>1.0</v>
      </c>
      <c r="M42" s="41">
        <v>0.7778</v>
      </c>
      <c r="N42" s="41">
        <v>0.9091</v>
      </c>
      <c r="O42" s="41">
        <v>0.9091</v>
      </c>
      <c r="P42" s="41">
        <v>1.0</v>
      </c>
      <c r="Q42" s="41">
        <v>0.7143</v>
      </c>
      <c r="R42" s="41">
        <v>0.8571</v>
      </c>
      <c r="S42" s="41">
        <v>1.0</v>
      </c>
      <c r="T42" s="41">
        <v>0.9048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customHeight="1">
      <c r="A43" s="35" t="s">
        <v>32</v>
      </c>
      <c r="B43" s="35" t="s">
        <v>121</v>
      </c>
      <c r="C43" s="35">
        <v>48.0</v>
      </c>
      <c r="D43" s="35">
        <v>1.5120525097E10</v>
      </c>
      <c r="E43" s="35">
        <v>2.50007051E8</v>
      </c>
      <c r="F43" s="39" t="s">
        <v>142</v>
      </c>
      <c r="G43" s="41" t="str">
        <f t="shared" si="1"/>
        <v>Pending</v>
      </c>
      <c r="H43" s="44">
        <f t="shared" si="2"/>
        <v>-71</v>
      </c>
      <c r="I43" s="44">
        <f t="shared" si="3"/>
        <v>24</v>
      </c>
      <c r="J43" s="44">
        <f t="shared" si="4"/>
        <v>192</v>
      </c>
      <c r="K43" s="41"/>
      <c r="L43" s="41">
        <v>0.0</v>
      </c>
      <c r="M43" s="41">
        <v>0.6471</v>
      </c>
      <c r="N43" s="41">
        <v>0.0455</v>
      </c>
      <c r="O43" s="41">
        <v>0.0455</v>
      </c>
      <c r="P43" s="41">
        <v>0.0</v>
      </c>
      <c r="Q43" s="41">
        <v>0.0</v>
      </c>
      <c r="R43" s="41">
        <v>0.0476</v>
      </c>
      <c r="S43" s="41">
        <v>0.0</v>
      </c>
      <c r="T43" s="41">
        <v>0.0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customHeight="1">
      <c r="A44" s="35" t="s">
        <v>32</v>
      </c>
      <c r="B44" s="35" t="s">
        <v>121</v>
      </c>
      <c r="C44" s="35">
        <v>49.0</v>
      </c>
      <c r="D44" s="35">
        <v>1.5120525146E10</v>
      </c>
      <c r="E44" s="35">
        <v>2.50007052E8</v>
      </c>
      <c r="F44" s="39" t="s">
        <v>143</v>
      </c>
      <c r="G44" s="41" t="str">
        <f t="shared" si="1"/>
        <v>Pending</v>
      </c>
      <c r="H44" s="44">
        <f t="shared" si="2"/>
        <v>-16</v>
      </c>
      <c r="I44" s="44">
        <f t="shared" si="3"/>
        <v>173</v>
      </c>
      <c r="J44" s="44">
        <f t="shared" si="4"/>
        <v>43</v>
      </c>
      <c r="K44" s="41"/>
      <c r="L44" s="41">
        <v>0.2381</v>
      </c>
      <c r="M44" s="41">
        <v>0.2941</v>
      </c>
      <c r="N44" s="41">
        <v>0.9091</v>
      </c>
      <c r="O44" s="41">
        <v>0.5</v>
      </c>
      <c r="P44" s="41">
        <v>0.5714</v>
      </c>
      <c r="Q44" s="41">
        <v>0.9524</v>
      </c>
      <c r="R44" s="41">
        <v>0.9524</v>
      </c>
      <c r="S44" s="41">
        <v>0.381</v>
      </c>
      <c r="T44" s="41">
        <v>0.9524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customHeight="1">
      <c r="A45" s="35" t="s">
        <v>32</v>
      </c>
      <c r="B45" s="35" t="s">
        <v>121</v>
      </c>
      <c r="C45" s="35">
        <v>50.0</v>
      </c>
      <c r="D45" s="35">
        <v>1.5120526097E10</v>
      </c>
      <c r="E45" s="38"/>
      <c r="F45" s="39" t="s">
        <v>145</v>
      </c>
      <c r="G45" s="41" t="str">
        <f t="shared" si="1"/>
        <v>Pending</v>
      </c>
      <c r="H45" s="44">
        <f t="shared" si="2"/>
        <v>-31</v>
      </c>
      <c r="I45" s="44">
        <f t="shared" si="3"/>
        <v>131</v>
      </c>
      <c r="J45" s="44">
        <f t="shared" si="4"/>
        <v>85</v>
      </c>
      <c r="K45" s="41"/>
      <c r="L45" s="41">
        <v>0.0</v>
      </c>
      <c r="M45" s="41">
        <v>0.0</v>
      </c>
      <c r="N45" s="41">
        <v>0.0</v>
      </c>
      <c r="O45" s="41">
        <v>0.0</v>
      </c>
      <c r="P45" s="41">
        <v>0.8889</v>
      </c>
      <c r="Q45" s="41">
        <v>0.8095</v>
      </c>
      <c r="R45" s="41">
        <v>0.9048</v>
      </c>
      <c r="S45" s="41">
        <v>0.9524</v>
      </c>
      <c r="T45" s="41">
        <v>0.8095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customHeight="1">
      <c r="A46" s="35" t="s">
        <v>32</v>
      </c>
      <c r="B46" s="35" t="s">
        <v>121</v>
      </c>
      <c r="C46" s="35">
        <v>51.0</v>
      </c>
      <c r="D46" s="35">
        <v>1.5120526098E10</v>
      </c>
      <c r="E46" s="38"/>
      <c r="F46" s="39" t="s">
        <v>147</v>
      </c>
      <c r="G46" s="41" t="str">
        <f t="shared" si="1"/>
        <v>Pending</v>
      </c>
      <c r="H46" s="44">
        <f t="shared" si="2"/>
        <v>-46</v>
      </c>
      <c r="I46" s="44">
        <f t="shared" si="3"/>
        <v>91</v>
      </c>
      <c r="J46" s="44">
        <f t="shared" si="4"/>
        <v>125</v>
      </c>
      <c r="K46" s="41"/>
      <c r="L46" s="41">
        <v>0.0</v>
      </c>
      <c r="M46" s="41">
        <v>0.0</v>
      </c>
      <c r="N46" s="41">
        <v>0.0</v>
      </c>
      <c r="O46" s="41">
        <v>0.0</v>
      </c>
      <c r="P46" s="41">
        <v>1.0</v>
      </c>
      <c r="Q46" s="41">
        <v>0.9048</v>
      </c>
      <c r="R46" s="41">
        <v>0.9048</v>
      </c>
      <c r="S46" s="41">
        <v>0.1905</v>
      </c>
      <c r="T46" s="41">
        <v>0.0476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customHeight="1">
      <c r="A47" s="35" t="s">
        <v>32</v>
      </c>
      <c r="B47" s="35" t="s">
        <v>121</v>
      </c>
      <c r="C47" s="35">
        <v>52.0</v>
      </c>
      <c r="D47" s="35">
        <v>1.5120525066E10</v>
      </c>
      <c r="E47" s="35">
        <v>2.50007055E8</v>
      </c>
      <c r="F47" s="39" t="s">
        <v>149</v>
      </c>
      <c r="G47" s="41" t="str">
        <f t="shared" si="1"/>
        <v>Pending</v>
      </c>
      <c r="H47" s="44">
        <f t="shared" si="2"/>
        <v>-36</v>
      </c>
      <c r="I47" s="44">
        <f t="shared" si="3"/>
        <v>119</v>
      </c>
      <c r="J47" s="44">
        <f t="shared" si="4"/>
        <v>97</v>
      </c>
      <c r="K47" s="41"/>
      <c r="L47" s="41">
        <v>0.5714</v>
      </c>
      <c r="M47" s="41">
        <v>0.3529</v>
      </c>
      <c r="N47" s="41">
        <v>0.4545</v>
      </c>
      <c r="O47" s="41">
        <v>0.7273</v>
      </c>
      <c r="P47" s="41">
        <v>0.381</v>
      </c>
      <c r="Q47" s="41">
        <v>0.5714</v>
      </c>
      <c r="R47" s="41">
        <v>0.6667</v>
      </c>
      <c r="S47" s="41">
        <v>0.0952</v>
      </c>
      <c r="T47" s="41">
        <v>0.1429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customHeight="1">
      <c r="A48" s="35" t="s">
        <v>32</v>
      </c>
      <c r="B48" s="35" t="s">
        <v>121</v>
      </c>
      <c r="C48" s="35">
        <v>53.0</v>
      </c>
      <c r="D48" s="35">
        <v>1.5120525109E10</v>
      </c>
      <c r="E48" s="35">
        <v>2.50007056E8</v>
      </c>
      <c r="F48" s="39" t="s">
        <v>152</v>
      </c>
      <c r="G48" s="41" t="str">
        <f t="shared" si="1"/>
        <v>Pending</v>
      </c>
      <c r="H48" s="44">
        <f t="shared" si="2"/>
        <v>-79</v>
      </c>
      <c r="I48" s="44">
        <f t="shared" si="3"/>
        <v>3</v>
      </c>
      <c r="J48" s="44">
        <f t="shared" si="4"/>
        <v>213</v>
      </c>
      <c r="K48" s="41"/>
      <c r="L48" s="41">
        <v>0.0</v>
      </c>
      <c r="M48" s="41">
        <v>0.0</v>
      </c>
      <c r="N48" s="41">
        <v>0.0</v>
      </c>
      <c r="O48" s="41">
        <v>0.0</v>
      </c>
      <c r="P48" s="41">
        <v>0.0476</v>
      </c>
      <c r="Q48" s="41">
        <v>0.0</v>
      </c>
      <c r="R48" s="41">
        <v>0.0476</v>
      </c>
      <c r="S48" s="41">
        <v>0.0</v>
      </c>
      <c r="T48" s="41">
        <v>0.0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customHeight="1">
      <c r="A49" s="35" t="s">
        <v>32</v>
      </c>
      <c r="B49" s="35" t="s">
        <v>121</v>
      </c>
      <c r="C49" s="35">
        <v>54.0</v>
      </c>
      <c r="D49" s="35">
        <v>1.5120525051E10</v>
      </c>
      <c r="E49" s="35">
        <v>2.50007057E8</v>
      </c>
      <c r="F49" s="39" t="s">
        <v>153</v>
      </c>
      <c r="G49" s="41" t="str">
        <f t="shared" si="1"/>
        <v>Pending</v>
      </c>
      <c r="H49" s="44">
        <f t="shared" si="2"/>
        <v>-8</v>
      </c>
      <c r="I49" s="44">
        <f t="shared" si="3"/>
        <v>195</v>
      </c>
      <c r="J49" s="44">
        <f t="shared" si="4"/>
        <v>21</v>
      </c>
      <c r="K49" s="41"/>
      <c r="L49" s="41">
        <v>0.9048</v>
      </c>
      <c r="M49" s="41">
        <v>0.8824</v>
      </c>
      <c r="N49" s="41">
        <v>0.6818</v>
      </c>
      <c r="O49" s="41">
        <v>0.5909</v>
      </c>
      <c r="P49" s="41">
        <v>0.5714</v>
      </c>
      <c r="Q49" s="41">
        <v>0.7143</v>
      </c>
      <c r="R49" s="41">
        <v>0.619</v>
      </c>
      <c r="S49" s="41">
        <v>0.7143</v>
      </c>
      <c r="T49" s="41">
        <v>0.8095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customHeight="1">
      <c r="A50" s="35" t="s">
        <v>32</v>
      </c>
      <c r="B50" s="35" t="s">
        <v>121</v>
      </c>
      <c r="C50" s="35">
        <v>55.0</v>
      </c>
      <c r="D50" s="35">
        <v>1.5120525088E10</v>
      </c>
      <c r="E50" s="35">
        <v>2.50007058E8</v>
      </c>
      <c r="F50" s="39" t="s">
        <v>156</v>
      </c>
      <c r="G50" s="41" t="str">
        <f t="shared" si="1"/>
        <v>Pending</v>
      </c>
      <c r="H50" s="44">
        <f t="shared" si="2"/>
        <v>-78</v>
      </c>
      <c r="I50" s="44">
        <f t="shared" si="3"/>
        <v>4</v>
      </c>
      <c r="J50" s="44">
        <f t="shared" si="4"/>
        <v>212</v>
      </c>
      <c r="K50" s="41"/>
      <c r="L50" s="41">
        <v>0.0476</v>
      </c>
      <c r="M50" s="41">
        <v>0.0</v>
      </c>
      <c r="N50" s="41">
        <v>0.0</v>
      </c>
      <c r="O50" s="41">
        <v>0.0</v>
      </c>
      <c r="P50" s="41">
        <v>0.0</v>
      </c>
      <c r="Q50" s="41">
        <v>0.0</v>
      </c>
      <c r="R50" s="41">
        <v>0.0952</v>
      </c>
      <c r="S50" s="41">
        <v>0.0</v>
      </c>
      <c r="T50" s="41">
        <v>0.0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customHeight="1">
      <c r="A51" s="35" t="s">
        <v>32</v>
      </c>
      <c r="B51" s="35" t="s">
        <v>121</v>
      </c>
      <c r="C51" s="35">
        <v>56.0</v>
      </c>
      <c r="D51" s="35">
        <v>1.5120525081E10</v>
      </c>
      <c r="E51" s="35">
        <v>2.50007059E8</v>
      </c>
      <c r="F51" s="39" t="s">
        <v>158</v>
      </c>
      <c r="G51" s="41" t="str">
        <f t="shared" si="1"/>
        <v>OK</v>
      </c>
      <c r="H51" s="44">
        <f t="shared" si="2"/>
        <v>17</v>
      </c>
      <c r="I51" s="44">
        <f t="shared" si="3"/>
        <v>263</v>
      </c>
      <c r="J51" s="44">
        <f t="shared" si="4"/>
        <v>0</v>
      </c>
      <c r="K51" s="41"/>
      <c r="L51" s="41">
        <v>1.0</v>
      </c>
      <c r="M51" s="41">
        <v>1.0</v>
      </c>
      <c r="N51" s="41">
        <v>1.0</v>
      </c>
      <c r="O51" s="41">
        <v>0.8182</v>
      </c>
      <c r="P51" s="41">
        <v>1.0</v>
      </c>
      <c r="Q51" s="41">
        <v>1.0</v>
      </c>
      <c r="R51" s="41">
        <v>1.0</v>
      </c>
      <c r="S51" s="41">
        <v>0.9524</v>
      </c>
      <c r="T51" s="41">
        <v>1.0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customHeight="1">
      <c r="A52" s="35" t="s">
        <v>32</v>
      </c>
      <c r="B52" s="35" t="s">
        <v>121</v>
      </c>
      <c r="C52" s="35">
        <v>57.0</v>
      </c>
      <c r="D52" s="35">
        <v>1.5120525057E10</v>
      </c>
      <c r="E52" s="35">
        <v>2.5000706E8</v>
      </c>
      <c r="F52" s="39" t="s">
        <v>159</v>
      </c>
      <c r="G52" s="41" t="str">
        <f t="shared" si="1"/>
        <v>OK</v>
      </c>
      <c r="H52" s="44">
        <f t="shared" si="2"/>
        <v>12</v>
      </c>
      <c r="I52" s="44">
        <f t="shared" si="3"/>
        <v>247</v>
      </c>
      <c r="J52" s="44">
        <f t="shared" si="4"/>
        <v>0</v>
      </c>
      <c r="K52" s="41"/>
      <c r="L52" s="41">
        <v>0.8095</v>
      </c>
      <c r="M52" s="41">
        <v>0.7647</v>
      </c>
      <c r="N52" s="41">
        <v>1.0</v>
      </c>
      <c r="O52" s="41">
        <v>1.0</v>
      </c>
      <c r="P52" s="41">
        <v>1.0</v>
      </c>
      <c r="Q52" s="41">
        <v>0.7619</v>
      </c>
      <c r="R52" s="41">
        <v>0.9524</v>
      </c>
      <c r="S52" s="41">
        <v>1.0</v>
      </c>
      <c r="T52" s="41">
        <v>0.9524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customHeight="1">
      <c r="A53" s="35" t="s">
        <v>32</v>
      </c>
      <c r="B53" s="35" t="s">
        <v>121</v>
      </c>
      <c r="C53" s="35">
        <v>58.0</v>
      </c>
      <c r="D53" s="35">
        <v>1.5120525087E10</v>
      </c>
      <c r="E53" s="35">
        <v>2.50007061E8</v>
      </c>
      <c r="F53" s="39" t="s">
        <v>161</v>
      </c>
      <c r="G53" s="41" t="str">
        <f t="shared" si="1"/>
        <v>OK</v>
      </c>
      <c r="H53" s="44">
        <f t="shared" si="2"/>
        <v>14</v>
      </c>
      <c r="I53" s="44">
        <f t="shared" si="3"/>
        <v>253</v>
      </c>
      <c r="J53" s="44">
        <f t="shared" si="4"/>
        <v>0</v>
      </c>
      <c r="K53" s="41"/>
      <c r="L53" s="41">
        <v>1.0</v>
      </c>
      <c r="M53" s="41">
        <v>1.0</v>
      </c>
      <c r="N53" s="41">
        <v>1.0</v>
      </c>
      <c r="O53" s="41">
        <v>1.0</v>
      </c>
      <c r="P53" s="41">
        <v>0.5238</v>
      </c>
      <c r="Q53" s="41">
        <v>1.0</v>
      </c>
      <c r="R53" s="41">
        <v>0.9048</v>
      </c>
      <c r="S53" s="41">
        <v>1.0</v>
      </c>
      <c r="T53" s="41">
        <v>1.0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customHeight="1">
      <c r="A54" s="35" t="s">
        <v>32</v>
      </c>
      <c r="B54" s="35" t="s">
        <v>121</v>
      </c>
      <c r="C54" s="35">
        <v>59.0</v>
      </c>
      <c r="D54" s="35">
        <v>1.5120525132E10</v>
      </c>
      <c r="E54" s="35">
        <v>2.50007062E8</v>
      </c>
      <c r="F54" s="39" t="s">
        <v>163</v>
      </c>
      <c r="G54" s="41" t="str">
        <f t="shared" si="1"/>
        <v>OK</v>
      </c>
      <c r="H54" s="44">
        <f t="shared" si="2"/>
        <v>14</v>
      </c>
      <c r="I54" s="44">
        <f t="shared" si="3"/>
        <v>253</v>
      </c>
      <c r="J54" s="44">
        <f t="shared" si="4"/>
        <v>0</v>
      </c>
      <c r="K54" s="41"/>
      <c r="L54" s="41">
        <v>1.0</v>
      </c>
      <c r="M54" s="41">
        <v>1.0</v>
      </c>
      <c r="N54" s="41">
        <v>1.0</v>
      </c>
      <c r="O54" s="41">
        <v>1.0</v>
      </c>
      <c r="P54" s="41">
        <v>1.0</v>
      </c>
      <c r="Q54" s="41">
        <v>0.8095</v>
      </c>
      <c r="R54" s="41">
        <v>1.0</v>
      </c>
      <c r="S54" s="41">
        <v>1.0</v>
      </c>
      <c r="T54" s="41">
        <v>0.619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customHeight="1">
      <c r="A55" s="35" t="s">
        <v>32</v>
      </c>
      <c r="B55" s="35" t="s">
        <v>121</v>
      </c>
      <c r="C55" s="35">
        <v>60.0</v>
      </c>
      <c r="D55" s="35">
        <v>1.5120525013E10</v>
      </c>
      <c r="E55" s="35">
        <v>2.50007063E8</v>
      </c>
      <c r="F55" s="39" t="s">
        <v>165</v>
      </c>
      <c r="G55" s="41" t="str">
        <f t="shared" si="1"/>
        <v>OK</v>
      </c>
      <c r="H55" s="44">
        <f t="shared" si="2"/>
        <v>16</v>
      </c>
      <c r="I55" s="44">
        <f t="shared" si="3"/>
        <v>260</v>
      </c>
      <c r="J55" s="44">
        <f t="shared" si="4"/>
        <v>0</v>
      </c>
      <c r="K55" s="41"/>
      <c r="L55" s="41">
        <v>1.0</v>
      </c>
      <c r="M55" s="41">
        <v>1.0</v>
      </c>
      <c r="N55" s="41">
        <v>1.0</v>
      </c>
      <c r="O55" s="41">
        <v>1.0</v>
      </c>
      <c r="P55" s="41">
        <v>0.9524</v>
      </c>
      <c r="Q55" s="41">
        <v>0.9524</v>
      </c>
      <c r="R55" s="41">
        <v>1.0</v>
      </c>
      <c r="S55" s="41">
        <v>0.9048</v>
      </c>
      <c r="T55" s="41">
        <v>0.8571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customHeight="1">
      <c r="A56" s="35" t="s">
        <v>32</v>
      </c>
      <c r="B56" s="35" t="s">
        <v>121</v>
      </c>
      <c r="C56" s="35">
        <v>62.0</v>
      </c>
      <c r="D56" s="35">
        <v>1.5120525094E10</v>
      </c>
      <c r="E56" s="35">
        <v>2.50007067E8</v>
      </c>
      <c r="F56" s="39" t="s">
        <v>167</v>
      </c>
      <c r="G56" s="41" t="str">
        <f t="shared" si="1"/>
        <v>OK</v>
      </c>
      <c r="H56" s="44">
        <f t="shared" si="2"/>
        <v>5</v>
      </c>
      <c r="I56" s="44">
        <f t="shared" si="3"/>
        <v>229</v>
      </c>
      <c r="J56" s="44">
        <f t="shared" si="4"/>
        <v>0</v>
      </c>
      <c r="K56" s="41"/>
      <c r="L56" s="41">
        <v>0.4762</v>
      </c>
      <c r="M56" s="41">
        <v>1.0</v>
      </c>
      <c r="N56" s="41">
        <v>0.9091</v>
      </c>
      <c r="O56" s="41">
        <v>0.9091</v>
      </c>
      <c r="P56" s="41">
        <v>0.4286</v>
      </c>
      <c r="Q56" s="41">
        <v>1.0</v>
      </c>
      <c r="R56" s="41">
        <v>0.9524</v>
      </c>
      <c r="S56" s="41">
        <v>0.9524</v>
      </c>
      <c r="T56" s="41">
        <v>1.0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customHeight="1">
      <c r="A57" s="35" t="s">
        <v>32</v>
      </c>
      <c r="B57" s="35" t="s">
        <v>121</v>
      </c>
      <c r="C57" s="35">
        <v>63.0</v>
      </c>
      <c r="D57" s="35">
        <v>1.5120525143E10</v>
      </c>
      <c r="E57" s="35">
        <v>2.50007068E8</v>
      </c>
      <c r="F57" s="39" t="s">
        <v>169</v>
      </c>
      <c r="G57" s="41" t="str">
        <f t="shared" si="1"/>
        <v>Pending</v>
      </c>
      <c r="H57" s="44">
        <f t="shared" si="2"/>
        <v>-20</v>
      </c>
      <c r="I57" s="44">
        <f t="shared" si="3"/>
        <v>163</v>
      </c>
      <c r="J57" s="44">
        <f t="shared" si="4"/>
        <v>53</v>
      </c>
      <c r="K57" s="41"/>
      <c r="L57" s="41">
        <v>0.0476</v>
      </c>
      <c r="M57" s="41">
        <v>0.1176</v>
      </c>
      <c r="N57" s="41">
        <v>0.7727</v>
      </c>
      <c r="O57" s="41">
        <v>0.7273</v>
      </c>
      <c r="P57" s="41">
        <v>0.8095</v>
      </c>
      <c r="Q57" s="41">
        <v>0.6667</v>
      </c>
      <c r="R57" s="41">
        <v>0.9048</v>
      </c>
      <c r="S57" s="41">
        <v>0.7143</v>
      </c>
      <c r="T57" s="41">
        <v>0.6667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customHeight="1">
      <c r="A58" s="35" t="s">
        <v>32</v>
      </c>
      <c r="B58" s="35" t="s">
        <v>121</v>
      </c>
      <c r="C58" s="35">
        <v>64.0</v>
      </c>
      <c r="D58" s="35">
        <v>1.5120525125E10</v>
      </c>
      <c r="E58" s="35">
        <v>2.50007069E8</v>
      </c>
      <c r="F58" s="39" t="s">
        <v>171</v>
      </c>
      <c r="G58" s="41" t="str">
        <f t="shared" si="1"/>
        <v>OK</v>
      </c>
      <c r="H58" s="44">
        <f t="shared" si="2"/>
        <v>11</v>
      </c>
      <c r="I58" s="44">
        <f t="shared" si="3"/>
        <v>244</v>
      </c>
      <c r="J58" s="44">
        <f t="shared" si="4"/>
        <v>0</v>
      </c>
      <c r="K58" s="41"/>
      <c r="L58" s="41">
        <v>1.0</v>
      </c>
      <c r="M58" s="41">
        <v>1.0</v>
      </c>
      <c r="N58" s="41">
        <v>0.9091</v>
      </c>
      <c r="O58" s="41">
        <v>0.9545</v>
      </c>
      <c r="P58" s="41">
        <v>0.8095</v>
      </c>
      <c r="Q58" s="41">
        <v>0.9048</v>
      </c>
      <c r="R58" s="41">
        <v>0.8571</v>
      </c>
      <c r="S58" s="41">
        <v>0.8095</v>
      </c>
      <c r="T58" s="41">
        <v>0.9048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customHeight="1">
      <c r="A59" s="35" t="s">
        <v>32</v>
      </c>
      <c r="B59" s="35" t="s">
        <v>121</v>
      </c>
      <c r="C59" s="35">
        <v>65.0</v>
      </c>
      <c r="D59" s="35">
        <v>1.5120525026E10</v>
      </c>
      <c r="E59" s="35">
        <v>2.5000707E8</v>
      </c>
      <c r="F59" s="39" t="s">
        <v>173</v>
      </c>
      <c r="G59" s="41" t="str">
        <f t="shared" si="1"/>
        <v>OK</v>
      </c>
      <c r="H59" s="44">
        <f t="shared" si="2"/>
        <v>10</v>
      </c>
      <c r="I59" s="44">
        <f t="shared" si="3"/>
        <v>243</v>
      </c>
      <c r="J59" s="44">
        <f t="shared" si="4"/>
        <v>0</v>
      </c>
      <c r="K59" s="41"/>
      <c r="L59" s="41">
        <v>0.9524</v>
      </c>
      <c r="M59" s="41">
        <v>1.0</v>
      </c>
      <c r="N59" s="41">
        <v>1.0</v>
      </c>
      <c r="O59" s="41">
        <v>1.0</v>
      </c>
      <c r="P59" s="41">
        <v>0.9524</v>
      </c>
      <c r="Q59" s="41">
        <v>0.619</v>
      </c>
      <c r="R59" s="41">
        <v>1.0</v>
      </c>
      <c r="S59" s="41">
        <v>1.0</v>
      </c>
      <c r="T59" s="41">
        <v>0.5714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customHeight="1">
      <c r="A60" s="35" t="s">
        <v>32</v>
      </c>
      <c r="B60" s="35" t="s">
        <v>121</v>
      </c>
      <c r="C60" s="35">
        <v>66.0</v>
      </c>
      <c r="D60" s="35">
        <v>1.5120525126E10</v>
      </c>
      <c r="E60" s="35">
        <v>2.50007071E8</v>
      </c>
      <c r="F60" s="39" t="s">
        <v>175</v>
      </c>
      <c r="G60" s="41" t="str">
        <f t="shared" si="1"/>
        <v>OK</v>
      </c>
      <c r="H60" s="44">
        <f t="shared" si="2"/>
        <v>18</v>
      </c>
      <c r="I60" s="44">
        <f t="shared" si="3"/>
        <v>263</v>
      </c>
      <c r="J60" s="44">
        <f t="shared" si="4"/>
        <v>0</v>
      </c>
      <c r="K60" s="41"/>
      <c r="L60" s="41">
        <v>1.0</v>
      </c>
      <c r="M60" s="41">
        <v>0.8235</v>
      </c>
      <c r="N60" s="41">
        <v>1.0</v>
      </c>
      <c r="O60" s="41">
        <v>1.0</v>
      </c>
      <c r="P60" s="41">
        <v>0.9524</v>
      </c>
      <c r="Q60" s="41">
        <v>1.0</v>
      </c>
      <c r="R60" s="41">
        <v>1.0</v>
      </c>
      <c r="S60" s="41">
        <v>1.0</v>
      </c>
      <c r="T60" s="41">
        <v>1.0</v>
      </c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customHeight="1">
      <c r="A61" s="35" t="s">
        <v>32</v>
      </c>
      <c r="B61" s="35" t="s">
        <v>121</v>
      </c>
      <c r="C61" s="35">
        <v>68.0</v>
      </c>
      <c r="D61" s="35">
        <v>1.5120525044E10</v>
      </c>
      <c r="E61" s="35">
        <v>2.50007074E8</v>
      </c>
      <c r="F61" s="39" t="s">
        <v>177</v>
      </c>
      <c r="G61" s="41" t="str">
        <f t="shared" si="1"/>
        <v>OK</v>
      </c>
      <c r="H61" s="44">
        <f t="shared" si="2"/>
        <v>17</v>
      </c>
      <c r="I61" s="44">
        <f t="shared" si="3"/>
        <v>261</v>
      </c>
      <c r="J61" s="44">
        <f t="shared" si="4"/>
        <v>0</v>
      </c>
      <c r="K61" s="41"/>
      <c r="L61" s="41">
        <v>0.7619</v>
      </c>
      <c r="M61" s="41">
        <v>1.0</v>
      </c>
      <c r="N61" s="41">
        <v>1.0</v>
      </c>
      <c r="O61" s="41">
        <v>1.0</v>
      </c>
      <c r="P61" s="41">
        <v>0.9524</v>
      </c>
      <c r="Q61" s="41">
        <v>1.0</v>
      </c>
      <c r="R61" s="41">
        <v>1.0</v>
      </c>
      <c r="S61" s="41">
        <v>1.0</v>
      </c>
      <c r="T61" s="41">
        <v>1.0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customHeight="1">
      <c r="A62" s="35" t="s">
        <v>32</v>
      </c>
      <c r="B62" s="35" t="s">
        <v>180</v>
      </c>
      <c r="C62" s="35">
        <v>69.0</v>
      </c>
      <c r="D62" s="35">
        <v>1.5120525038E10</v>
      </c>
      <c r="E62" s="35">
        <v>2.50007075E8</v>
      </c>
      <c r="F62" s="39" t="s">
        <v>181</v>
      </c>
      <c r="G62" s="41" t="str">
        <f t="shared" si="1"/>
        <v>OK</v>
      </c>
      <c r="H62" s="44">
        <f t="shared" si="2"/>
        <v>12</v>
      </c>
      <c r="I62" s="44">
        <f t="shared" si="3"/>
        <v>247</v>
      </c>
      <c r="J62" s="44">
        <f t="shared" si="4"/>
        <v>0</v>
      </c>
      <c r="K62" s="41"/>
      <c r="L62" s="41">
        <v>0.8095</v>
      </c>
      <c r="M62" s="41">
        <v>1.0</v>
      </c>
      <c r="N62" s="41">
        <v>0.9545</v>
      </c>
      <c r="O62" s="41">
        <v>1.0</v>
      </c>
      <c r="P62" s="41">
        <v>0.8571</v>
      </c>
      <c r="Q62" s="41">
        <v>0.9524</v>
      </c>
      <c r="R62" s="41">
        <v>0.8571</v>
      </c>
      <c r="S62" s="41">
        <v>0.9524</v>
      </c>
      <c r="T62" s="41">
        <v>0.8571</v>
      </c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35" t="s">
        <v>32</v>
      </c>
      <c r="B63" s="35" t="s">
        <v>180</v>
      </c>
      <c r="C63" s="35">
        <v>71.0</v>
      </c>
      <c r="D63" s="35">
        <v>1.5120525003E10</v>
      </c>
      <c r="E63" s="35">
        <v>2.50007077E8</v>
      </c>
      <c r="F63" s="39" t="s">
        <v>183</v>
      </c>
      <c r="G63" s="41" t="str">
        <f t="shared" si="1"/>
        <v>OK</v>
      </c>
      <c r="H63" s="44">
        <f t="shared" si="2"/>
        <v>16</v>
      </c>
      <c r="I63" s="44">
        <f t="shared" si="3"/>
        <v>260</v>
      </c>
      <c r="J63" s="44">
        <f t="shared" si="4"/>
        <v>0</v>
      </c>
      <c r="K63" s="41"/>
      <c r="L63" s="41">
        <v>0.9524</v>
      </c>
      <c r="M63" s="41">
        <v>0.9412</v>
      </c>
      <c r="N63" s="41">
        <v>0.8636</v>
      </c>
      <c r="O63" s="41">
        <v>1.0</v>
      </c>
      <c r="P63" s="41">
        <v>1.0</v>
      </c>
      <c r="Q63" s="41">
        <v>1.0</v>
      </c>
      <c r="R63" s="41">
        <v>1.0</v>
      </c>
      <c r="S63" s="41">
        <v>0.9524</v>
      </c>
      <c r="T63" s="41">
        <v>0.9524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15.75" customHeight="1">
      <c r="A64" s="35" t="s">
        <v>32</v>
      </c>
      <c r="B64" s="35" t="s">
        <v>180</v>
      </c>
      <c r="C64" s="35">
        <v>73.0</v>
      </c>
      <c r="D64" s="35">
        <v>1.5120525017E10</v>
      </c>
      <c r="E64" s="35">
        <v>2.50007079E8</v>
      </c>
      <c r="F64" s="39" t="s">
        <v>184</v>
      </c>
      <c r="G64" s="41" t="str">
        <f t="shared" si="1"/>
        <v>Pending</v>
      </c>
      <c r="H64" s="44">
        <f t="shared" si="2"/>
        <v>-8</v>
      </c>
      <c r="I64" s="44">
        <f t="shared" si="3"/>
        <v>196</v>
      </c>
      <c r="J64" s="44">
        <f t="shared" si="4"/>
        <v>20</v>
      </c>
      <c r="K64" s="41"/>
      <c r="L64" s="41">
        <v>0.9524</v>
      </c>
      <c r="M64" s="41">
        <v>0.9412</v>
      </c>
      <c r="N64" s="41">
        <v>0.9091</v>
      </c>
      <c r="O64" s="41">
        <v>1.0</v>
      </c>
      <c r="P64" s="41">
        <v>0.9048</v>
      </c>
      <c r="Q64" s="41">
        <v>0.8571</v>
      </c>
      <c r="R64" s="41">
        <v>0.6667</v>
      </c>
      <c r="S64" s="41">
        <v>0.0</v>
      </c>
      <c r="T64" s="41">
        <v>0.2857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15.75" customHeight="1">
      <c r="A65" s="35" t="s">
        <v>32</v>
      </c>
      <c r="B65" s="35" t="s">
        <v>180</v>
      </c>
      <c r="C65" s="35">
        <v>74.0</v>
      </c>
      <c r="D65" s="35">
        <v>1.5120525016E10</v>
      </c>
      <c r="E65" s="35">
        <v>2.5000708E8</v>
      </c>
      <c r="F65" s="39" t="s">
        <v>186</v>
      </c>
      <c r="G65" s="41" t="str">
        <f t="shared" si="1"/>
        <v>OK</v>
      </c>
      <c r="H65" s="44">
        <f t="shared" si="2"/>
        <v>17</v>
      </c>
      <c r="I65" s="44">
        <f t="shared" si="3"/>
        <v>262</v>
      </c>
      <c r="J65" s="44">
        <f t="shared" si="4"/>
        <v>0</v>
      </c>
      <c r="K65" s="41"/>
      <c r="L65" s="41">
        <v>1.0</v>
      </c>
      <c r="M65" s="41">
        <v>1.0</v>
      </c>
      <c r="N65" s="41">
        <v>0.8182</v>
      </c>
      <c r="O65" s="41">
        <v>1.0</v>
      </c>
      <c r="P65" s="41">
        <v>1.0</v>
      </c>
      <c r="Q65" s="41">
        <v>1.0</v>
      </c>
      <c r="R65" s="41">
        <v>1.0</v>
      </c>
      <c r="S65" s="41">
        <v>1.0</v>
      </c>
      <c r="T65" s="41">
        <v>0.9048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15.75" customHeight="1">
      <c r="A66" s="35" t="s">
        <v>32</v>
      </c>
      <c r="B66" s="35" t="s">
        <v>180</v>
      </c>
      <c r="C66" s="35">
        <v>75.0</v>
      </c>
      <c r="D66" s="35">
        <v>1.512052515E10</v>
      </c>
      <c r="E66" s="35">
        <v>2.50007081E8</v>
      </c>
      <c r="F66" s="39" t="s">
        <v>188</v>
      </c>
      <c r="G66" s="41" t="str">
        <f t="shared" si="1"/>
        <v>OK</v>
      </c>
      <c r="H66" s="44">
        <f t="shared" si="2"/>
        <v>19</v>
      </c>
      <c r="I66" s="44">
        <f t="shared" si="3"/>
        <v>267</v>
      </c>
      <c r="J66" s="44">
        <f t="shared" si="4"/>
        <v>0</v>
      </c>
      <c r="K66" s="41"/>
      <c r="L66" s="41">
        <v>1.0</v>
      </c>
      <c r="M66" s="41">
        <v>1.0</v>
      </c>
      <c r="N66" s="41">
        <v>1.0</v>
      </c>
      <c r="O66" s="41">
        <v>1.0</v>
      </c>
      <c r="P66" s="41">
        <v>1.0</v>
      </c>
      <c r="Q66" s="41">
        <v>1.0</v>
      </c>
      <c r="R66" s="41">
        <v>0.9524</v>
      </c>
      <c r="S66" s="41">
        <v>1.0</v>
      </c>
      <c r="T66" s="41">
        <v>0.9524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15.75" customHeight="1">
      <c r="A67" s="35" t="s">
        <v>32</v>
      </c>
      <c r="B67" s="35" t="s">
        <v>180</v>
      </c>
      <c r="C67" s="35">
        <v>76.0</v>
      </c>
      <c r="D67" s="35">
        <v>1.5120525122E10</v>
      </c>
      <c r="E67" s="35">
        <v>2.50007083E8</v>
      </c>
      <c r="F67" s="39" t="s">
        <v>190</v>
      </c>
      <c r="G67" s="41" t="str">
        <f t="shared" si="1"/>
        <v>Pending</v>
      </c>
      <c r="H67" s="44">
        <f t="shared" si="2"/>
        <v>-19</v>
      </c>
      <c r="I67" s="44">
        <f t="shared" si="3"/>
        <v>164</v>
      </c>
      <c r="J67" s="44">
        <f t="shared" si="4"/>
        <v>52</v>
      </c>
      <c r="K67" s="41"/>
      <c r="L67" s="41">
        <v>0.5714</v>
      </c>
      <c r="M67" s="41">
        <v>0.4706</v>
      </c>
      <c r="N67" s="41">
        <v>0.5909</v>
      </c>
      <c r="O67" s="41">
        <v>0.6818</v>
      </c>
      <c r="P67" s="41">
        <v>0.7619</v>
      </c>
      <c r="Q67" s="41">
        <v>0.4762</v>
      </c>
      <c r="R67" s="41">
        <v>0.7143</v>
      </c>
      <c r="S67" s="41">
        <v>0.6667</v>
      </c>
      <c r="T67" s="41">
        <v>0.5238</v>
      </c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15.75" customHeight="1">
      <c r="A68" s="35" t="s">
        <v>32</v>
      </c>
      <c r="B68" s="35" t="s">
        <v>180</v>
      </c>
      <c r="C68" s="35">
        <v>78.0</v>
      </c>
      <c r="D68" s="35">
        <v>1.512052503E10</v>
      </c>
      <c r="E68" s="35">
        <v>2.50007085E8</v>
      </c>
      <c r="F68" s="39" t="s">
        <v>192</v>
      </c>
      <c r="G68" s="41" t="str">
        <f t="shared" si="1"/>
        <v>OK</v>
      </c>
      <c r="H68" s="44">
        <f t="shared" si="2"/>
        <v>8</v>
      </c>
      <c r="I68" s="44">
        <f t="shared" si="3"/>
        <v>238</v>
      </c>
      <c r="J68" s="44">
        <f t="shared" si="4"/>
        <v>0</v>
      </c>
      <c r="K68" s="41"/>
      <c r="L68" s="41">
        <v>1.0</v>
      </c>
      <c r="M68" s="41">
        <v>0.6471</v>
      </c>
      <c r="N68" s="41">
        <v>0.9091</v>
      </c>
      <c r="O68" s="41">
        <v>0.9091</v>
      </c>
      <c r="P68" s="41">
        <v>0.9048</v>
      </c>
      <c r="Q68" s="41">
        <v>0.7143</v>
      </c>
      <c r="R68" s="41">
        <v>0.9048</v>
      </c>
      <c r="S68" s="41">
        <v>1.0</v>
      </c>
      <c r="T68" s="41">
        <v>0.9524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15.75" customHeight="1">
      <c r="A69" s="35" t="s">
        <v>32</v>
      </c>
      <c r="B69" s="35" t="s">
        <v>180</v>
      </c>
      <c r="C69" s="35">
        <v>79.0</v>
      </c>
      <c r="D69" s="35">
        <v>1.5120525019E10</v>
      </c>
      <c r="E69" s="35">
        <v>2.50007086E8</v>
      </c>
      <c r="F69" s="39" t="s">
        <v>194</v>
      </c>
      <c r="G69" s="41" t="str">
        <f t="shared" si="1"/>
        <v>OK</v>
      </c>
      <c r="H69" s="44">
        <f t="shared" si="2"/>
        <v>8</v>
      </c>
      <c r="I69" s="44">
        <f t="shared" si="3"/>
        <v>238</v>
      </c>
      <c r="J69" s="44">
        <f t="shared" si="4"/>
        <v>0</v>
      </c>
      <c r="K69" s="41"/>
      <c r="L69" s="41">
        <v>1.0</v>
      </c>
      <c r="M69" s="41">
        <v>0.8235</v>
      </c>
      <c r="N69" s="41">
        <v>0.8182</v>
      </c>
      <c r="O69" s="41">
        <v>0.9091</v>
      </c>
      <c r="P69" s="41">
        <v>0.9524</v>
      </c>
      <c r="Q69" s="41">
        <v>0.9048</v>
      </c>
      <c r="R69" s="41">
        <v>0.7619</v>
      </c>
      <c r="S69" s="41">
        <v>0.8571</v>
      </c>
      <c r="T69" s="41">
        <v>0.9048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15.75" customHeight="1">
      <c r="A70" s="35" t="s">
        <v>32</v>
      </c>
      <c r="B70" s="35" t="s">
        <v>180</v>
      </c>
      <c r="C70" s="35">
        <v>80.0</v>
      </c>
      <c r="D70" s="35">
        <v>1.5120525137E10</v>
      </c>
      <c r="E70" s="35">
        <v>2.50007087E8</v>
      </c>
      <c r="F70" s="39" t="s">
        <v>196</v>
      </c>
      <c r="G70" s="41" t="str">
        <f t="shared" si="1"/>
        <v>OK</v>
      </c>
      <c r="H70" s="44">
        <f t="shared" si="2"/>
        <v>18</v>
      </c>
      <c r="I70" s="44">
        <f t="shared" si="3"/>
        <v>266</v>
      </c>
      <c r="J70" s="44">
        <f t="shared" si="4"/>
        <v>0</v>
      </c>
      <c r="K70" s="41"/>
      <c r="L70" s="41">
        <v>1.0</v>
      </c>
      <c r="M70" s="41">
        <v>1.0</v>
      </c>
      <c r="N70" s="41">
        <v>0.9545</v>
      </c>
      <c r="O70" s="41">
        <v>1.0</v>
      </c>
      <c r="P70" s="41">
        <v>0.9524</v>
      </c>
      <c r="Q70" s="41">
        <v>1.0</v>
      </c>
      <c r="R70" s="41">
        <v>1.0</v>
      </c>
      <c r="S70" s="41">
        <v>0.9524</v>
      </c>
      <c r="T70" s="41">
        <v>1.0</v>
      </c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15.75" customHeight="1">
      <c r="A71" s="35" t="s">
        <v>32</v>
      </c>
      <c r="B71" s="35" t="s">
        <v>180</v>
      </c>
      <c r="C71" s="35">
        <v>82.0</v>
      </c>
      <c r="D71" s="35">
        <v>1.5120525001E10</v>
      </c>
      <c r="E71" s="35">
        <v>2.50007089E8</v>
      </c>
      <c r="F71" s="39" t="s">
        <v>198</v>
      </c>
      <c r="G71" s="41" t="str">
        <f t="shared" si="1"/>
        <v>OK</v>
      </c>
      <c r="H71" s="44">
        <f t="shared" si="2"/>
        <v>13</v>
      </c>
      <c r="I71" s="44">
        <f t="shared" si="3"/>
        <v>250</v>
      </c>
      <c r="J71" s="44">
        <f t="shared" si="4"/>
        <v>0</v>
      </c>
      <c r="K71" s="41"/>
      <c r="L71" s="41">
        <v>1.0</v>
      </c>
      <c r="M71" s="41">
        <v>1.0</v>
      </c>
      <c r="N71" s="41">
        <v>0.9091</v>
      </c>
      <c r="O71" s="41">
        <v>1.0</v>
      </c>
      <c r="P71" s="41">
        <v>0.8095</v>
      </c>
      <c r="Q71" s="41">
        <v>0.8095</v>
      </c>
      <c r="R71" s="41">
        <v>0.8571</v>
      </c>
      <c r="S71" s="41">
        <v>1.0</v>
      </c>
      <c r="T71" s="41">
        <v>0.9524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15.75" customHeight="1">
      <c r="A72" s="35" t="s">
        <v>32</v>
      </c>
      <c r="B72" s="35" t="s">
        <v>180</v>
      </c>
      <c r="C72" s="35">
        <v>83.0</v>
      </c>
      <c r="D72" s="35">
        <v>1.5120525105E10</v>
      </c>
      <c r="E72" s="35">
        <v>2.5000709E8</v>
      </c>
      <c r="F72" s="39" t="s">
        <v>200</v>
      </c>
      <c r="G72" s="41" t="str">
        <f t="shared" si="1"/>
        <v>OK</v>
      </c>
      <c r="H72" s="44">
        <f t="shared" si="2"/>
        <v>14</v>
      </c>
      <c r="I72" s="44">
        <f t="shared" si="3"/>
        <v>254</v>
      </c>
      <c r="J72" s="44">
        <f t="shared" si="4"/>
        <v>0</v>
      </c>
      <c r="K72" s="41"/>
      <c r="L72" s="41">
        <v>1.0</v>
      </c>
      <c r="M72" s="41">
        <v>0.8824</v>
      </c>
      <c r="N72" s="41">
        <v>0.9091</v>
      </c>
      <c r="O72" s="41">
        <v>1.0</v>
      </c>
      <c r="P72" s="41">
        <v>0.9524</v>
      </c>
      <c r="Q72" s="41">
        <v>0.9048</v>
      </c>
      <c r="R72" s="41">
        <v>0.9048</v>
      </c>
      <c r="S72" s="41">
        <v>0.9524</v>
      </c>
      <c r="T72" s="41">
        <v>0.9524</v>
      </c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15.75" customHeight="1">
      <c r="A73" s="35" t="s">
        <v>32</v>
      </c>
      <c r="B73" s="35" t="s">
        <v>180</v>
      </c>
      <c r="C73" s="35">
        <v>84.0</v>
      </c>
      <c r="D73" s="35">
        <v>1.512052502E10</v>
      </c>
      <c r="E73" s="35">
        <v>2.50007091E8</v>
      </c>
      <c r="F73" s="39" t="s">
        <v>202</v>
      </c>
      <c r="G73" s="41" t="str">
        <f t="shared" si="1"/>
        <v>OK</v>
      </c>
      <c r="H73" s="44">
        <f t="shared" si="2"/>
        <v>14</v>
      </c>
      <c r="I73" s="44">
        <f t="shared" si="3"/>
        <v>255</v>
      </c>
      <c r="J73" s="44">
        <f t="shared" si="4"/>
        <v>0</v>
      </c>
      <c r="K73" s="41"/>
      <c r="L73" s="41">
        <v>1.0</v>
      </c>
      <c r="M73" s="41">
        <v>0.7647</v>
      </c>
      <c r="N73" s="41">
        <v>1.0</v>
      </c>
      <c r="O73" s="41">
        <v>0.9091</v>
      </c>
      <c r="P73" s="41">
        <v>1.0</v>
      </c>
      <c r="Q73" s="41">
        <v>0.9524</v>
      </c>
      <c r="R73" s="41">
        <v>1.0</v>
      </c>
      <c r="S73" s="41">
        <v>0.9524</v>
      </c>
      <c r="T73" s="41">
        <v>0.9048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15.75" customHeight="1">
      <c r="A74" s="35" t="s">
        <v>32</v>
      </c>
      <c r="B74" s="35" t="s">
        <v>180</v>
      </c>
      <c r="C74" s="35">
        <v>85.0</v>
      </c>
      <c r="D74" s="35">
        <v>1.5120526036E10</v>
      </c>
      <c r="E74" s="38"/>
      <c r="F74" s="39" t="s">
        <v>204</v>
      </c>
      <c r="G74" s="41" t="str">
        <f t="shared" si="1"/>
        <v>Pending</v>
      </c>
      <c r="H74" s="44">
        <f t="shared" si="2"/>
        <v>-26</v>
      </c>
      <c r="I74" s="44">
        <f t="shared" si="3"/>
        <v>145</v>
      </c>
      <c r="J74" s="44">
        <f t="shared" si="4"/>
        <v>71</v>
      </c>
      <c r="K74" s="41"/>
      <c r="L74" s="41">
        <v>0.0</v>
      </c>
      <c r="M74" s="41">
        <v>0.9412</v>
      </c>
      <c r="N74" s="41">
        <v>0.5</v>
      </c>
      <c r="O74" s="41">
        <v>0.4545</v>
      </c>
      <c r="P74" s="41">
        <v>0.5238</v>
      </c>
      <c r="Q74" s="41">
        <v>0.5238</v>
      </c>
      <c r="R74" s="41">
        <v>0.8095</v>
      </c>
      <c r="S74" s="41">
        <v>0.6667</v>
      </c>
      <c r="T74" s="41">
        <v>0.4286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customHeight="1">
      <c r="A75" s="35" t="s">
        <v>32</v>
      </c>
      <c r="B75" s="35" t="s">
        <v>180</v>
      </c>
      <c r="C75" s="35">
        <v>86.0</v>
      </c>
      <c r="D75" s="35">
        <v>1.5120526045E10</v>
      </c>
      <c r="E75" s="38"/>
      <c r="F75" s="39" t="s">
        <v>206</v>
      </c>
      <c r="G75" s="41" t="str">
        <f t="shared" si="1"/>
        <v>Pending</v>
      </c>
      <c r="H75" s="44">
        <f t="shared" si="2"/>
        <v>-33</v>
      </c>
      <c r="I75" s="44">
        <f t="shared" si="3"/>
        <v>126</v>
      </c>
      <c r="J75" s="44">
        <f t="shared" si="4"/>
        <v>90</v>
      </c>
      <c r="K75" s="41"/>
      <c r="L75" s="41">
        <v>0.0</v>
      </c>
      <c r="M75" s="41">
        <v>0.0</v>
      </c>
      <c r="N75" s="41">
        <v>0.5455</v>
      </c>
      <c r="O75" s="41">
        <v>0.4545</v>
      </c>
      <c r="P75" s="41">
        <v>0.6667</v>
      </c>
      <c r="Q75" s="41">
        <v>0.8095</v>
      </c>
      <c r="R75" s="41">
        <v>0.6667</v>
      </c>
      <c r="S75" s="41">
        <v>0.381</v>
      </c>
      <c r="T75" s="41">
        <v>0.6667</v>
      </c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customHeight="1">
      <c r="A76" s="35" t="s">
        <v>32</v>
      </c>
      <c r="B76" s="35" t="s">
        <v>180</v>
      </c>
      <c r="C76" s="35">
        <v>87.0</v>
      </c>
      <c r="D76" s="35">
        <v>1.5120526043E10</v>
      </c>
      <c r="E76" s="38"/>
      <c r="F76" s="39" t="s">
        <v>208</v>
      </c>
      <c r="G76" s="41" t="str">
        <f t="shared" si="1"/>
        <v>Pending</v>
      </c>
      <c r="H76" s="44">
        <f t="shared" si="2"/>
        <v>-25</v>
      </c>
      <c r="I76" s="44">
        <f t="shared" si="3"/>
        <v>148</v>
      </c>
      <c r="J76" s="44">
        <f t="shared" si="4"/>
        <v>68</v>
      </c>
      <c r="K76" s="41"/>
      <c r="L76" s="41">
        <v>0.0</v>
      </c>
      <c r="M76" s="41">
        <v>0.0</v>
      </c>
      <c r="N76" s="41">
        <v>0.6818</v>
      </c>
      <c r="O76" s="41">
        <v>0.6364</v>
      </c>
      <c r="P76" s="41">
        <v>0.7619</v>
      </c>
      <c r="Q76" s="41">
        <v>0.5714</v>
      </c>
      <c r="R76" s="41">
        <v>0.9048</v>
      </c>
      <c r="S76" s="41">
        <v>0.619</v>
      </c>
      <c r="T76" s="41">
        <v>0.7619</v>
      </c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customHeight="1">
      <c r="A77" s="35" t="s">
        <v>32</v>
      </c>
      <c r="B77" s="35" t="s">
        <v>180</v>
      </c>
      <c r="C77" s="35">
        <v>88.0</v>
      </c>
      <c r="D77" s="35">
        <v>1.5120526065E10</v>
      </c>
      <c r="E77" s="38"/>
      <c r="F77" s="39" t="s">
        <v>209</v>
      </c>
      <c r="G77" s="41" t="str">
        <f t="shared" si="1"/>
        <v>Pending</v>
      </c>
      <c r="H77" s="44">
        <f t="shared" si="2"/>
        <v>-34</v>
      </c>
      <c r="I77" s="44">
        <f t="shared" si="3"/>
        <v>124</v>
      </c>
      <c r="J77" s="44">
        <f t="shared" si="4"/>
        <v>92</v>
      </c>
      <c r="K77" s="41"/>
      <c r="L77" s="41">
        <v>0.0</v>
      </c>
      <c r="M77" s="41">
        <v>0.0</v>
      </c>
      <c r="N77" s="41">
        <v>1.0</v>
      </c>
      <c r="O77" s="41">
        <v>0.3333</v>
      </c>
      <c r="P77" s="41">
        <v>0.4286</v>
      </c>
      <c r="Q77" s="41">
        <v>0.5238</v>
      </c>
      <c r="R77" s="41">
        <v>0.6667</v>
      </c>
      <c r="S77" s="41">
        <v>0.6667</v>
      </c>
      <c r="T77" s="41">
        <v>0.5238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customHeight="1">
      <c r="A78" s="35" t="s">
        <v>32</v>
      </c>
      <c r="B78" s="35" t="s">
        <v>180</v>
      </c>
      <c r="C78" s="35">
        <v>89.0</v>
      </c>
      <c r="D78" s="35">
        <v>1.5120526064E10</v>
      </c>
      <c r="E78" s="38"/>
      <c r="F78" s="39" t="s">
        <v>211</v>
      </c>
      <c r="G78" s="41" t="str">
        <f t="shared" si="1"/>
        <v>Pending</v>
      </c>
      <c r="H78" s="44">
        <f t="shared" si="2"/>
        <v>-21</v>
      </c>
      <c r="I78" s="44">
        <f t="shared" si="3"/>
        <v>159</v>
      </c>
      <c r="J78" s="44">
        <f t="shared" si="4"/>
        <v>57</v>
      </c>
      <c r="K78" s="41"/>
      <c r="L78" s="41">
        <v>0.0</v>
      </c>
      <c r="M78" s="41">
        <v>0.0</v>
      </c>
      <c r="N78" s="41">
        <v>1.0</v>
      </c>
      <c r="O78" s="41">
        <v>0.3333</v>
      </c>
      <c r="P78" s="41">
        <v>0.8095</v>
      </c>
      <c r="Q78" s="41">
        <v>0.8095</v>
      </c>
      <c r="R78" s="41">
        <v>0.8571</v>
      </c>
      <c r="S78" s="41">
        <v>0.8095</v>
      </c>
      <c r="T78" s="41">
        <v>0.6667</v>
      </c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customHeight="1">
      <c r="A79" s="35" t="s">
        <v>32</v>
      </c>
      <c r="B79" s="35" t="s">
        <v>180</v>
      </c>
      <c r="C79" s="35">
        <v>90.0</v>
      </c>
      <c r="D79" s="35">
        <v>1.5120526078E10</v>
      </c>
      <c r="E79" s="38"/>
      <c r="F79" s="39" t="s">
        <v>213</v>
      </c>
      <c r="G79" s="41" t="str">
        <f t="shared" si="1"/>
        <v>Pending</v>
      </c>
      <c r="H79" s="44">
        <f t="shared" si="2"/>
        <v>-20</v>
      </c>
      <c r="I79" s="44">
        <f t="shared" si="3"/>
        <v>163</v>
      </c>
      <c r="J79" s="44">
        <f t="shared" si="4"/>
        <v>53</v>
      </c>
      <c r="K79" s="41"/>
      <c r="L79" s="41">
        <v>0.0</v>
      </c>
      <c r="M79" s="41">
        <v>0.0</v>
      </c>
      <c r="N79" s="41">
        <v>0.0</v>
      </c>
      <c r="O79" s="41">
        <v>0.75</v>
      </c>
      <c r="P79" s="41">
        <v>1.0</v>
      </c>
      <c r="Q79" s="41">
        <v>0.8571</v>
      </c>
      <c r="R79" s="41">
        <v>0.9524</v>
      </c>
      <c r="S79" s="41">
        <v>0.9524</v>
      </c>
      <c r="T79" s="41">
        <v>0.9048</v>
      </c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customHeight="1">
      <c r="A80" s="35" t="s">
        <v>32</v>
      </c>
      <c r="B80" s="35" t="s">
        <v>180</v>
      </c>
      <c r="C80" s="35">
        <v>91.0</v>
      </c>
      <c r="D80" s="35">
        <v>1.5120526079E10</v>
      </c>
      <c r="E80" s="38"/>
      <c r="F80" s="39" t="s">
        <v>215</v>
      </c>
      <c r="G80" s="41" t="str">
        <f t="shared" si="1"/>
        <v>Pending</v>
      </c>
      <c r="H80" s="44">
        <f t="shared" si="2"/>
        <v>-23</v>
      </c>
      <c r="I80" s="44">
        <f t="shared" si="3"/>
        <v>155</v>
      </c>
      <c r="J80" s="44">
        <f t="shared" si="4"/>
        <v>61</v>
      </c>
      <c r="K80" s="41"/>
      <c r="L80" s="41">
        <v>0.0</v>
      </c>
      <c r="M80" s="41">
        <v>0.0</v>
      </c>
      <c r="N80" s="41">
        <v>0.0</v>
      </c>
      <c r="O80" s="41">
        <v>0.5</v>
      </c>
      <c r="P80" s="41">
        <v>0.9524</v>
      </c>
      <c r="Q80" s="41">
        <v>1.0</v>
      </c>
      <c r="R80" s="41">
        <v>0.7619</v>
      </c>
      <c r="S80" s="41">
        <v>0.9524</v>
      </c>
      <c r="T80" s="41">
        <v>1.0</v>
      </c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customHeight="1">
      <c r="A81" s="35" t="s">
        <v>32</v>
      </c>
      <c r="B81" s="35" t="s">
        <v>180</v>
      </c>
      <c r="C81" s="35">
        <v>92.0</v>
      </c>
      <c r="D81" s="35">
        <v>1.512052608E10</v>
      </c>
      <c r="E81" s="38"/>
      <c r="F81" s="39" t="s">
        <v>217</v>
      </c>
      <c r="G81" s="41" t="str">
        <f t="shared" si="1"/>
        <v>Pending</v>
      </c>
      <c r="H81" s="44">
        <f t="shared" si="2"/>
        <v>-25</v>
      </c>
      <c r="I81" s="44">
        <f t="shared" si="3"/>
        <v>148</v>
      </c>
      <c r="J81" s="44">
        <f t="shared" si="4"/>
        <v>68</v>
      </c>
      <c r="K81" s="41"/>
      <c r="L81" s="41">
        <v>0.0</v>
      </c>
      <c r="M81" s="41">
        <v>0.0</v>
      </c>
      <c r="N81" s="41">
        <v>0.0</v>
      </c>
      <c r="O81" s="41">
        <v>0.5</v>
      </c>
      <c r="P81" s="41">
        <v>1.0</v>
      </c>
      <c r="Q81" s="41">
        <v>1.0</v>
      </c>
      <c r="R81" s="41">
        <v>1.0</v>
      </c>
      <c r="S81" s="41">
        <v>0.8095</v>
      </c>
      <c r="T81" s="41">
        <v>0.619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customHeight="1">
      <c r="A82" s="35" t="s">
        <v>32</v>
      </c>
      <c r="B82" s="35" t="s">
        <v>180</v>
      </c>
      <c r="C82" s="35">
        <v>93.0</v>
      </c>
      <c r="D82" s="35">
        <v>1.5120526081E10</v>
      </c>
      <c r="E82" s="38"/>
      <c r="F82" s="39" t="s">
        <v>219</v>
      </c>
      <c r="G82" s="41" t="str">
        <f t="shared" si="1"/>
        <v>Pending</v>
      </c>
      <c r="H82" s="44">
        <f t="shared" si="2"/>
        <v>-38</v>
      </c>
      <c r="I82" s="44">
        <f t="shared" si="3"/>
        <v>112</v>
      </c>
      <c r="J82" s="44">
        <f t="shared" si="4"/>
        <v>104</v>
      </c>
      <c r="K82" s="41"/>
      <c r="L82" s="41">
        <v>0.0</v>
      </c>
      <c r="M82" s="41">
        <v>0.0</v>
      </c>
      <c r="N82" s="41">
        <v>0.0</v>
      </c>
      <c r="O82" s="41">
        <v>0.5</v>
      </c>
      <c r="P82" s="41">
        <v>0.0476</v>
      </c>
      <c r="Q82" s="41">
        <v>0.8095</v>
      </c>
      <c r="R82" s="41">
        <v>0.8571</v>
      </c>
      <c r="S82" s="41">
        <v>0.8095</v>
      </c>
      <c r="T82" s="41">
        <v>0.7143</v>
      </c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customHeight="1">
      <c r="A83" s="35" t="s">
        <v>32</v>
      </c>
      <c r="B83" s="35" t="s">
        <v>180</v>
      </c>
      <c r="C83" s="35">
        <v>94.0</v>
      </c>
      <c r="D83" s="35">
        <v>1.5120526082E10</v>
      </c>
      <c r="E83" s="38"/>
      <c r="F83" s="39" t="s">
        <v>221</v>
      </c>
      <c r="G83" s="41" t="str">
        <f t="shared" si="1"/>
        <v>Pending</v>
      </c>
      <c r="H83" s="44">
        <f t="shared" si="2"/>
        <v>-29</v>
      </c>
      <c r="I83" s="44">
        <f t="shared" si="3"/>
        <v>136</v>
      </c>
      <c r="J83" s="44">
        <f t="shared" si="4"/>
        <v>80</v>
      </c>
      <c r="K83" s="41"/>
      <c r="L83" s="41">
        <v>0.0</v>
      </c>
      <c r="M83" s="41">
        <v>0.0</v>
      </c>
      <c r="N83" s="41">
        <v>0.0</v>
      </c>
      <c r="O83" s="41">
        <v>0.5</v>
      </c>
      <c r="P83" s="41">
        <v>0.9048</v>
      </c>
      <c r="Q83" s="41">
        <v>0.7619</v>
      </c>
      <c r="R83" s="41">
        <v>0.8095</v>
      </c>
      <c r="S83" s="41">
        <v>0.8095</v>
      </c>
      <c r="T83" s="41">
        <v>0.7619</v>
      </c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customHeight="1">
      <c r="A84" s="35" t="s">
        <v>32</v>
      </c>
      <c r="B84" s="35" t="s">
        <v>180</v>
      </c>
      <c r="C84" s="35">
        <v>95.0</v>
      </c>
      <c r="D84" s="35">
        <v>1.5120526084E10</v>
      </c>
      <c r="E84" s="38"/>
      <c r="F84" s="39" t="s">
        <v>223</v>
      </c>
      <c r="G84" s="41" t="str">
        <f t="shared" si="1"/>
        <v>Pending</v>
      </c>
      <c r="H84" s="44">
        <f t="shared" si="2"/>
        <v>-28</v>
      </c>
      <c r="I84" s="44">
        <f t="shared" si="3"/>
        <v>141</v>
      </c>
      <c r="J84" s="44">
        <f t="shared" si="4"/>
        <v>75</v>
      </c>
      <c r="K84" s="41"/>
      <c r="L84" s="41">
        <v>0.0</v>
      </c>
      <c r="M84" s="41">
        <v>0.0</v>
      </c>
      <c r="N84" s="41">
        <v>0.0</v>
      </c>
      <c r="O84" s="41">
        <v>0.0</v>
      </c>
      <c r="P84" s="41">
        <v>0.9524</v>
      </c>
      <c r="Q84" s="41">
        <v>0.8095</v>
      </c>
      <c r="R84" s="41">
        <v>1.0</v>
      </c>
      <c r="S84" s="41">
        <v>1.0</v>
      </c>
      <c r="T84" s="41">
        <v>0.9524</v>
      </c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customHeight="1">
      <c r="A85" s="35" t="s">
        <v>32</v>
      </c>
      <c r="B85" s="35" t="s">
        <v>180</v>
      </c>
      <c r="C85" s="35">
        <v>98.0</v>
      </c>
      <c r="D85" s="35">
        <v>1.5120526088E10</v>
      </c>
      <c r="E85" s="38"/>
      <c r="F85" s="39" t="s">
        <v>225</v>
      </c>
      <c r="G85" s="41" t="str">
        <f t="shared" si="1"/>
        <v>Pending</v>
      </c>
      <c r="H85" s="44">
        <f t="shared" si="2"/>
        <v>-42</v>
      </c>
      <c r="I85" s="44">
        <f t="shared" si="3"/>
        <v>101</v>
      </c>
      <c r="J85" s="44">
        <f t="shared" si="4"/>
        <v>115</v>
      </c>
      <c r="K85" s="41"/>
      <c r="L85" s="41">
        <v>0.0</v>
      </c>
      <c r="M85" s="41">
        <v>0.0</v>
      </c>
      <c r="N85" s="41">
        <v>0.0</v>
      </c>
      <c r="O85" s="41">
        <v>0.0</v>
      </c>
      <c r="P85" s="41">
        <v>0.619</v>
      </c>
      <c r="Q85" s="41">
        <v>0.4286</v>
      </c>
      <c r="R85" s="41">
        <v>0.9048</v>
      </c>
      <c r="S85" s="41">
        <v>0.7143</v>
      </c>
      <c r="T85" s="41">
        <v>0.7143</v>
      </c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customHeight="1">
      <c r="A86" s="35" t="s">
        <v>32</v>
      </c>
      <c r="B86" s="35" t="s">
        <v>180</v>
      </c>
      <c r="C86" s="35">
        <v>99.0</v>
      </c>
      <c r="D86" s="35">
        <v>1.5120526092E10</v>
      </c>
      <c r="E86" s="38"/>
      <c r="F86" s="39" t="s">
        <v>227</v>
      </c>
      <c r="G86" s="41" t="str">
        <f t="shared" si="1"/>
        <v>Pending</v>
      </c>
      <c r="H86" s="44">
        <f t="shared" si="2"/>
        <v>-26</v>
      </c>
      <c r="I86" s="44">
        <f t="shared" si="3"/>
        <v>145</v>
      </c>
      <c r="J86" s="44">
        <f t="shared" si="4"/>
        <v>71</v>
      </c>
      <c r="K86" s="41"/>
      <c r="L86" s="41">
        <v>0.0</v>
      </c>
      <c r="M86" s="41">
        <v>0.0</v>
      </c>
      <c r="N86" s="41">
        <v>0.0</v>
      </c>
      <c r="O86" s="41">
        <v>0.0</v>
      </c>
      <c r="P86" s="41">
        <v>0.9412</v>
      </c>
      <c r="Q86" s="41">
        <v>0.9048</v>
      </c>
      <c r="R86" s="41">
        <v>1.0</v>
      </c>
      <c r="S86" s="41">
        <v>1.0</v>
      </c>
      <c r="T86" s="41">
        <v>1.0</v>
      </c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customHeight="1">
      <c r="A87" s="35" t="s">
        <v>32</v>
      </c>
      <c r="B87" s="35" t="s">
        <v>180</v>
      </c>
      <c r="C87" s="35">
        <v>100.0</v>
      </c>
      <c r="D87" s="35">
        <v>1.5120526093E10</v>
      </c>
      <c r="E87" s="38"/>
      <c r="F87" s="39" t="s">
        <v>229</v>
      </c>
      <c r="G87" s="41" t="str">
        <f t="shared" si="1"/>
        <v>Pending</v>
      </c>
      <c r="H87" s="44">
        <f t="shared" si="2"/>
        <v>-48</v>
      </c>
      <c r="I87" s="44">
        <f t="shared" si="3"/>
        <v>87</v>
      </c>
      <c r="J87" s="44">
        <f t="shared" si="4"/>
        <v>129</v>
      </c>
      <c r="K87" s="41"/>
      <c r="L87" s="41">
        <v>0.0</v>
      </c>
      <c r="M87" s="41">
        <v>0.0</v>
      </c>
      <c r="N87" s="41">
        <v>0.0</v>
      </c>
      <c r="O87" s="41">
        <v>0.0</v>
      </c>
      <c r="P87" s="41">
        <v>0.4706</v>
      </c>
      <c r="Q87" s="41">
        <v>0.5714</v>
      </c>
      <c r="R87" s="41">
        <v>0.7143</v>
      </c>
      <c r="S87" s="41">
        <v>0.6667</v>
      </c>
      <c r="T87" s="41">
        <v>0.4762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customHeight="1">
      <c r="A88" s="35" t="s">
        <v>32</v>
      </c>
      <c r="B88" s="35" t="s">
        <v>180</v>
      </c>
      <c r="C88" s="35">
        <v>101.0</v>
      </c>
      <c r="D88" s="50">
        <v>1.5120526134E10</v>
      </c>
      <c r="E88" s="50">
        <v>2.62007001E8</v>
      </c>
      <c r="F88" s="51" t="s">
        <v>231</v>
      </c>
      <c r="G88" s="41" t="str">
        <f t="shared" si="1"/>
        <v>Pending</v>
      </c>
      <c r="H88" s="44">
        <f t="shared" si="2"/>
        <v>-70</v>
      </c>
      <c r="I88" s="44">
        <f t="shared" si="3"/>
        <v>27</v>
      </c>
      <c r="J88" s="44">
        <f t="shared" si="4"/>
        <v>189</v>
      </c>
      <c r="K88" s="41"/>
      <c r="L88" s="41">
        <v>0.0</v>
      </c>
      <c r="M88" s="41">
        <v>0.0</v>
      </c>
      <c r="N88" s="41">
        <v>0.0</v>
      </c>
      <c r="O88" s="41">
        <v>0.0</v>
      </c>
      <c r="P88" s="41">
        <v>0.0</v>
      </c>
      <c r="Q88" s="41">
        <v>0.0</v>
      </c>
      <c r="R88" s="41">
        <v>0.0</v>
      </c>
      <c r="S88" s="41">
        <v>0.0</v>
      </c>
      <c r="T88" s="41">
        <v>0.9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customHeight="1">
      <c r="A89" s="35" t="s">
        <v>32</v>
      </c>
      <c r="B89" s="35" t="s">
        <v>180</v>
      </c>
      <c r="C89" s="35">
        <v>102.0</v>
      </c>
      <c r="D89" s="50">
        <v>1.5120526137E10</v>
      </c>
      <c r="E89" s="52"/>
      <c r="F89" s="51" t="s">
        <v>233</v>
      </c>
      <c r="G89" s="41" t="str">
        <f t="shared" si="1"/>
        <v>Pending</v>
      </c>
      <c r="H89" s="44">
        <f t="shared" si="2"/>
        <v>-70</v>
      </c>
      <c r="I89" s="44">
        <f t="shared" si="3"/>
        <v>27</v>
      </c>
      <c r="J89" s="44">
        <f t="shared" si="4"/>
        <v>189</v>
      </c>
      <c r="K89" s="41"/>
      <c r="L89" s="41">
        <v>0.0</v>
      </c>
      <c r="M89" s="41">
        <v>0.0</v>
      </c>
      <c r="N89" s="41">
        <v>0.0</v>
      </c>
      <c r="O89" s="41">
        <v>0.0</v>
      </c>
      <c r="P89" s="41">
        <v>0.0</v>
      </c>
      <c r="Q89" s="41">
        <v>0.0</v>
      </c>
      <c r="R89" s="41">
        <v>0.0</v>
      </c>
      <c r="S89" s="41">
        <v>0.0</v>
      </c>
      <c r="T89" s="41">
        <v>0.9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customHeight="1">
      <c r="A90" s="28" t="s">
        <v>6</v>
      </c>
      <c r="B90" s="28" t="s">
        <v>7</v>
      </c>
      <c r="C90" s="28" t="s">
        <v>8</v>
      </c>
      <c r="D90" s="28" t="s">
        <v>9</v>
      </c>
      <c r="E90" s="28" t="s">
        <v>10</v>
      </c>
      <c r="F90" s="28"/>
      <c r="G90" s="41"/>
      <c r="H90" s="44"/>
      <c r="I90" s="44"/>
      <c r="J90" s="44"/>
      <c r="K90" s="41"/>
      <c r="L90" s="41"/>
      <c r="M90" s="38"/>
      <c r="N90" s="38"/>
      <c r="O90" s="38"/>
      <c r="P90" s="7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customHeight="1">
      <c r="A91" s="50" t="s">
        <v>235</v>
      </c>
      <c r="B91" s="50" t="s">
        <v>236</v>
      </c>
      <c r="C91" s="50">
        <v>1.0</v>
      </c>
      <c r="D91" s="50">
        <v>1.5120525041E10</v>
      </c>
      <c r="E91" s="50">
        <v>2.50007093E8</v>
      </c>
      <c r="F91" s="51" t="s">
        <v>237</v>
      </c>
      <c r="G91" s="41" t="str">
        <f t="shared" ref="G91:G151" si="5">IF(H91&gt;=0,"OK",IF(K91&gt;=J91,"Completed","Pending"))</f>
        <v>OK</v>
      </c>
      <c r="H91" s="44">
        <f t="shared" ref="H91:H151" si="6">round((((((L91*100)*$L$5)+((M91*100)*$M$5)+((N91*100)*$N$5)+((O91*100)*$O$5)+((P91*100)*$P$5)+((Q91*100)*$Q$5)+((R91*100)*$R$5)+((S91*100)*$S$5)+((T91*100)*$T$5)+((U91*100)*$U$5)+((V91*100)*$V$5)+((W91*100)*$W$5)+((X91*100)*$X$5)+((Y91*100)*$Y$5)+((Z91*100)*$Z$5)++((W91*100)*$W$5)+((AA91*100)*$AA$5))/($L$5+$M$5+$N$5+$O$5+$P$5+$Q$5+$R$5+$S$5+$T$5+$V$5+$U$5+$W$5+$X$5+$Y$5+$Z$5+$AA$5))-80),0)</f>
        <v>9</v>
      </c>
      <c r="I91" s="44">
        <f t="shared" ref="I91:I151" si="7">round(30*((L91*$L$5)+(M91*$M$5)+(N91*$N$5)+(O91*$O$5)+(P91*$P$5)+(Q91*$Q$5)+(R91*$R$5)+(S91*$S$5)+(T91*$T$5)+(U91*$U$5)+(V91*$V$5)+(W91*$W$5)+(X91*$X$5)+(Y91*$Y$5)+(Z91*$Z$5)+(AA91*$AA$5)),0)</f>
        <v>240</v>
      </c>
      <c r="J91" s="44">
        <f t="shared" ref="J91:J151" si="8">if(I91&lt;(24*($L$5+$M$5+$N$5+$O$5+$P$5+$Q$5+$R$5+$S$5+$T$5+$V$5+$U$5+$W$5+$X$5+$Y$5+$Z$5+$AA$5)),abs(I91-(24*($L$5+$M$5+$N$5+$O$5+$P$5+$Q$5+$R$5+$S$5+$T$5+$V$5+$U$5+$W$5+$X$5+$Y$5+$Z$5+$AA$5))),0)</f>
        <v>0</v>
      </c>
      <c r="K91" s="41"/>
      <c r="L91" s="41">
        <v>0.8571</v>
      </c>
      <c r="M91" s="41">
        <v>0.7059</v>
      </c>
      <c r="N91" s="41">
        <v>0.9091</v>
      </c>
      <c r="O91" s="41">
        <v>0.9048</v>
      </c>
      <c r="P91" s="41">
        <v>0.9524</v>
      </c>
      <c r="Q91" s="41">
        <v>0.7143</v>
      </c>
      <c r="R91" s="41">
        <v>0.9524</v>
      </c>
      <c r="S91" s="41">
        <v>1.0</v>
      </c>
      <c r="T91" s="41">
        <v>1.0</v>
      </c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customHeight="1">
      <c r="A92" s="50" t="s">
        <v>235</v>
      </c>
      <c r="B92" s="50" t="s">
        <v>236</v>
      </c>
      <c r="C92" s="50">
        <v>2.0</v>
      </c>
      <c r="D92" s="50">
        <v>1.5120525023E10</v>
      </c>
      <c r="E92" s="50">
        <v>2.50007094E8</v>
      </c>
      <c r="F92" s="51" t="s">
        <v>245</v>
      </c>
      <c r="G92" s="41" t="str">
        <f t="shared" si="5"/>
        <v>OK</v>
      </c>
      <c r="H92" s="44">
        <f t="shared" si="6"/>
        <v>11</v>
      </c>
      <c r="I92" s="44">
        <f t="shared" si="7"/>
        <v>245</v>
      </c>
      <c r="J92" s="44">
        <f t="shared" si="8"/>
        <v>0</v>
      </c>
      <c r="K92" s="41"/>
      <c r="L92" s="41">
        <v>0.5238</v>
      </c>
      <c r="M92" s="41">
        <v>0.8824</v>
      </c>
      <c r="N92" s="41">
        <v>1.0</v>
      </c>
      <c r="O92" s="41">
        <v>1.0</v>
      </c>
      <c r="P92" s="41">
        <v>0.9048</v>
      </c>
      <c r="Q92" s="41">
        <v>0.9048</v>
      </c>
      <c r="R92" s="41">
        <v>0.9524</v>
      </c>
      <c r="S92" s="41">
        <v>1.0</v>
      </c>
      <c r="T92" s="41">
        <v>1.0</v>
      </c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customHeight="1">
      <c r="A93" s="50" t="s">
        <v>235</v>
      </c>
      <c r="B93" s="50" t="s">
        <v>236</v>
      </c>
      <c r="C93" s="50">
        <v>3.0</v>
      </c>
      <c r="D93" s="50">
        <v>1.5120525037E10</v>
      </c>
      <c r="E93" s="50">
        <v>2.50007095E8</v>
      </c>
      <c r="F93" s="51" t="s">
        <v>246</v>
      </c>
      <c r="G93" s="41" t="str">
        <f t="shared" si="5"/>
        <v>OK</v>
      </c>
      <c r="H93" s="44">
        <f t="shared" si="6"/>
        <v>11</v>
      </c>
      <c r="I93" s="44">
        <f t="shared" si="7"/>
        <v>246</v>
      </c>
      <c r="J93" s="44">
        <f t="shared" si="8"/>
        <v>0</v>
      </c>
      <c r="K93" s="41"/>
      <c r="L93" s="41">
        <v>0.8571</v>
      </c>
      <c r="M93" s="41">
        <v>0.5294</v>
      </c>
      <c r="N93" s="41">
        <v>1.0</v>
      </c>
      <c r="O93" s="41">
        <v>1.0</v>
      </c>
      <c r="P93" s="41">
        <v>0.9524</v>
      </c>
      <c r="Q93" s="41">
        <v>1.0</v>
      </c>
      <c r="R93" s="41">
        <v>1.0</v>
      </c>
      <c r="S93" s="41">
        <v>0.9048</v>
      </c>
      <c r="T93" s="41">
        <v>0.9524</v>
      </c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customHeight="1">
      <c r="A94" s="50" t="s">
        <v>235</v>
      </c>
      <c r="B94" s="50" t="s">
        <v>236</v>
      </c>
      <c r="C94" s="50">
        <v>4.0</v>
      </c>
      <c r="D94" s="50">
        <v>1.5120525031E10</v>
      </c>
      <c r="E94" s="50">
        <v>2.50007096E8</v>
      </c>
      <c r="F94" s="51" t="s">
        <v>247</v>
      </c>
      <c r="G94" s="41" t="str">
        <f t="shared" si="5"/>
        <v>OK</v>
      </c>
      <c r="H94" s="44">
        <f t="shared" si="6"/>
        <v>10</v>
      </c>
      <c r="I94" s="44">
        <f t="shared" si="7"/>
        <v>244</v>
      </c>
      <c r="J94" s="44">
        <f t="shared" si="8"/>
        <v>0</v>
      </c>
      <c r="K94" s="41"/>
      <c r="L94" s="41">
        <v>0.9048</v>
      </c>
      <c r="M94" s="41">
        <v>0.9412</v>
      </c>
      <c r="N94" s="41">
        <v>0.7273</v>
      </c>
      <c r="O94" s="41">
        <v>1.0</v>
      </c>
      <c r="P94" s="41">
        <v>1.0</v>
      </c>
      <c r="Q94" s="41">
        <v>0.9048</v>
      </c>
      <c r="R94" s="41">
        <v>0.9048</v>
      </c>
      <c r="S94" s="41">
        <v>0.8571</v>
      </c>
      <c r="T94" s="41">
        <v>0.9048</v>
      </c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customHeight="1">
      <c r="A95" s="50" t="s">
        <v>235</v>
      </c>
      <c r="B95" s="50" t="s">
        <v>236</v>
      </c>
      <c r="C95" s="50">
        <v>5.0</v>
      </c>
      <c r="D95" s="50">
        <v>1.5120525032E10</v>
      </c>
      <c r="E95" s="50">
        <v>2.50007097E8</v>
      </c>
      <c r="F95" s="51" t="s">
        <v>248</v>
      </c>
      <c r="G95" s="41" t="str">
        <f t="shared" si="5"/>
        <v>OK</v>
      </c>
      <c r="H95" s="44">
        <f t="shared" si="6"/>
        <v>10</v>
      </c>
      <c r="I95" s="44">
        <f t="shared" si="7"/>
        <v>243</v>
      </c>
      <c r="J95" s="44">
        <f t="shared" si="8"/>
        <v>0</v>
      </c>
      <c r="K95" s="41"/>
      <c r="L95" s="41">
        <v>0.9048</v>
      </c>
      <c r="M95" s="41">
        <v>0.8824</v>
      </c>
      <c r="N95" s="41">
        <v>0.6818</v>
      </c>
      <c r="O95" s="41">
        <v>0.9048</v>
      </c>
      <c r="P95" s="41">
        <v>0.9524</v>
      </c>
      <c r="Q95" s="41">
        <v>0.9048</v>
      </c>
      <c r="R95" s="41">
        <v>0.9524</v>
      </c>
      <c r="S95" s="41">
        <v>0.9524</v>
      </c>
      <c r="T95" s="41">
        <v>0.9524</v>
      </c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customHeight="1">
      <c r="A96" s="50" t="s">
        <v>235</v>
      </c>
      <c r="B96" s="50" t="s">
        <v>236</v>
      </c>
      <c r="C96" s="50">
        <v>7.0</v>
      </c>
      <c r="D96" s="50">
        <v>1.512052501E10</v>
      </c>
      <c r="E96" s="50">
        <v>2.50007099E8</v>
      </c>
      <c r="F96" s="51" t="s">
        <v>249</v>
      </c>
      <c r="G96" s="41" t="str">
        <f t="shared" si="5"/>
        <v>Pending</v>
      </c>
      <c r="H96" s="44">
        <f t="shared" si="6"/>
        <v>-11</v>
      </c>
      <c r="I96" s="44">
        <f t="shared" si="7"/>
        <v>187</v>
      </c>
      <c r="J96" s="44">
        <f t="shared" si="8"/>
        <v>29</v>
      </c>
      <c r="K96" s="41"/>
      <c r="L96" s="41">
        <v>0.5238</v>
      </c>
      <c r="M96" s="41">
        <v>0.4706</v>
      </c>
      <c r="N96" s="41">
        <v>0.7727</v>
      </c>
      <c r="O96" s="41">
        <v>0.9048</v>
      </c>
      <c r="P96" s="41">
        <v>0.7143</v>
      </c>
      <c r="Q96" s="41">
        <v>0.619</v>
      </c>
      <c r="R96" s="41">
        <v>0.6667</v>
      </c>
      <c r="S96" s="41">
        <v>0.8095</v>
      </c>
      <c r="T96" s="41">
        <v>0.7619</v>
      </c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customHeight="1">
      <c r="A97" s="50" t="s">
        <v>235</v>
      </c>
      <c r="B97" s="50" t="s">
        <v>236</v>
      </c>
      <c r="C97" s="50">
        <v>8.0</v>
      </c>
      <c r="D97" s="50">
        <v>1.5120525134E10</v>
      </c>
      <c r="E97" s="50">
        <v>2.500071E8</v>
      </c>
      <c r="F97" s="51" t="s">
        <v>251</v>
      </c>
      <c r="G97" s="41" t="str">
        <f t="shared" si="5"/>
        <v>OK</v>
      </c>
      <c r="H97" s="44">
        <f t="shared" si="6"/>
        <v>9</v>
      </c>
      <c r="I97" s="44">
        <f t="shared" si="7"/>
        <v>241</v>
      </c>
      <c r="J97" s="44">
        <f t="shared" si="8"/>
        <v>0</v>
      </c>
      <c r="K97" s="41"/>
      <c r="L97" s="41">
        <v>0.5238</v>
      </c>
      <c r="M97" s="41">
        <v>0.9412</v>
      </c>
      <c r="N97" s="41">
        <v>1.0</v>
      </c>
      <c r="O97" s="41">
        <v>1.0</v>
      </c>
      <c r="P97" s="41">
        <v>1.0</v>
      </c>
      <c r="Q97" s="41">
        <v>0.7143</v>
      </c>
      <c r="R97" s="41">
        <v>0.8571</v>
      </c>
      <c r="S97" s="41">
        <v>1.0</v>
      </c>
      <c r="T97" s="41">
        <v>1.0</v>
      </c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customHeight="1">
      <c r="A98" s="50" t="s">
        <v>235</v>
      </c>
      <c r="B98" s="50" t="s">
        <v>236</v>
      </c>
      <c r="C98" s="50">
        <v>10.0</v>
      </c>
      <c r="D98" s="50">
        <v>1.5120525071E10</v>
      </c>
      <c r="E98" s="50">
        <v>2.50007102E8</v>
      </c>
      <c r="F98" s="51" t="s">
        <v>252</v>
      </c>
      <c r="G98" s="41" t="str">
        <f t="shared" si="5"/>
        <v>Pending</v>
      </c>
      <c r="H98" s="44">
        <f t="shared" si="6"/>
        <v>-6</v>
      </c>
      <c r="I98" s="44">
        <f t="shared" si="7"/>
        <v>199</v>
      </c>
      <c r="J98" s="44">
        <f t="shared" si="8"/>
        <v>17</v>
      </c>
      <c r="K98" s="41"/>
      <c r="L98" s="41">
        <v>0.8571</v>
      </c>
      <c r="M98" s="41">
        <v>0.6471</v>
      </c>
      <c r="N98" s="41">
        <v>0.6364</v>
      </c>
      <c r="O98" s="41">
        <v>0.8095</v>
      </c>
      <c r="P98" s="41">
        <v>0.7143</v>
      </c>
      <c r="Q98" s="41">
        <v>0.6667</v>
      </c>
      <c r="R98" s="41">
        <v>0.6667</v>
      </c>
      <c r="S98" s="41">
        <v>0.619</v>
      </c>
      <c r="T98" s="41">
        <v>1.0</v>
      </c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customHeight="1">
      <c r="A99" s="50" t="s">
        <v>235</v>
      </c>
      <c r="B99" s="50" t="s">
        <v>236</v>
      </c>
      <c r="C99" s="50">
        <v>11.0</v>
      </c>
      <c r="D99" s="50">
        <v>1.5120525067E10</v>
      </c>
      <c r="E99" s="50">
        <v>2.50007103E8</v>
      </c>
      <c r="F99" s="51" t="s">
        <v>254</v>
      </c>
      <c r="G99" s="41" t="str">
        <f t="shared" si="5"/>
        <v>Pending</v>
      </c>
      <c r="H99" s="44">
        <f t="shared" si="6"/>
        <v>-75</v>
      </c>
      <c r="I99" s="44">
        <f t="shared" si="7"/>
        <v>13</v>
      </c>
      <c r="J99" s="44">
        <f t="shared" si="8"/>
        <v>203</v>
      </c>
      <c r="K99" s="41"/>
      <c r="L99" s="41">
        <v>0.2381</v>
      </c>
      <c r="M99" s="41">
        <v>0.0</v>
      </c>
      <c r="N99" s="41">
        <v>0.0455</v>
      </c>
      <c r="O99" s="41">
        <v>0.0</v>
      </c>
      <c r="P99" s="41">
        <v>0.0952</v>
      </c>
      <c r="Q99" s="41">
        <v>0.0</v>
      </c>
      <c r="R99" s="41">
        <v>0.0</v>
      </c>
      <c r="S99" s="41">
        <v>0.0</v>
      </c>
      <c r="T99" s="41">
        <v>0.0476</v>
      </c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customHeight="1">
      <c r="A100" s="50" t="s">
        <v>235</v>
      </c>
      <c r="B100" s="50" t="s">
        <v>236</v>
      </c>
      <c r="C100" s="50">
        <v>12.0</v>
      </c>
      <c r="D100" s="50">
        <v>1.5120525052E10</v>
      </c>
      <c r="E100" s="50">
        <v>2.50007104E8</v>
      </c>
      <c r="F100" s="51" t="s">
        <v>256</v>
      </c>
      <c r="G100" s="41" t="str">
        <f t="shared" si="5"/>
        <v>OK</v>
      </c>
      <c r="H100" s="44">
        <f t="shared" si="6"/>
        <v>6</v>
      </c>
      <c r="I100" s="44">
        <f t="shared" si="7"/>
        <v>233</v>
      </c>
      <c r="J100" s="44">
        <f t="shared" si="8"/>
        <v>0</v>
      </c>
      <c r="K100" s="41"/>
      <c r="L100" s="41">
        <v>0.0</v>
      </c>
      <c r="M100" s="41">
        <v>0.9412</v>
      </c>
      <c r="N100" s="41">
        <v>1.0</v>
      </c>
      <c r="O100" s="41">
        <v>1.0</v>
      </c>
      <c r="P100" s="41">
        <v>0.9048</v>
      </c>
      <c r="Q100" s="41">
        <v>1.0</v>
      </c>
      <c r="R100" s="41">
        <v>0.9524</v>
      </c>
      <c r="S100" s="41">
        <v>0.9524</v>
      </c>
      <c r="T100" s="41">
        <v>1.0</v>
      </c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customHeight="1">
      <c r="A101" s="50" t="s">
        <v>235</v>
      </c>
      <c r="B101" s="50" t="s">
        <v>236</v>
      </c>
      <c r="C101" s="50">
        <v>14.0</v>
      </c>
      <c r="D101" s="50">
        <v>1.512052506E10</v>
      </c>
      <c r="E101" s="50">
        <v>2.50007106E8</v>
      </c>
      <c r="F101" s="51" t="s">
        <v>258</v>
      </c>
      <c r="G101" s="41" t="str">
        <f t="shared" si="5"/>
        <v>OK</v>
      </c>
      <c r="H101" s="44">
        <f t="shared" si="6"/>
        <v>14</v>
      </c>
      <c r="I101" s="44">
        <f t="shared" si="7"/>
        <v>254</v>
      </c>
      <c r="J101" s="44">
        <f t="shared" si="8"/>
        <v>0</v>
      </c>
      <c r="K101" s="41"/>
      <c r="L101" s="41">
        <v>0.9048</v>
      </c>
      <c r="M101" s="41">
        <v>0.8824</v>
      </c>
      <c r="N101" s="41">
        <v>1.0</v>
      </c>
      <c r="O101" s="41">
        <v>1.0</v>
      </c>
      <c r="P101" s="41">
        <v>0.9048</v>
      </c>
      <c r="Q101" s="41">
        <v>0.9524</v>
      </c>
      <c r="R101" s="41">
        <v>0.8571</v>
      </c>
      <c r="S101" s="41">
        <v>1.0</v>
      </c>
      <c r="T101" s="41">
        <v>0.9524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customHeight="1">
      <c r="A102" s="50" t="s">
        <v>235</v>
      </c>
      <c r="B102" s="50" t="s">
        <v>236</v>
      </c>
      <c r="C102" s="50">
        <v>15.0</v>
      </c>
      <c r="D102" s="50">
        <v>1.5120525028E10</v>
      </c>
      <c r="E102" s="50">
        <v>2.50007107E8</v>
      </c>
      <c r="F102" s="51" t="s">
        <v>260</v>
      </c>
      <c r="G102" s="41" t="str">
        <f t="shared" si="5"/>
        <v>OK</v>
      </c>
      <c r="H102" s="44">
        <f t="shared" si="6"/>
        <v>6</v>
      </c>
      <c r="I102" s="44">
        <f t="shared" si="7"/>
        <v>231</v>
      </c>
      <c r="J102" s="44">
        <f t="shared" si="8"/>
        <v>0</v>
      </c>
      <c r="K102" s="41"/>
      <c r="L102" s="41">
        <v>0.9048</v>
      </c>
      <c r="M102" s="41">
        <v>0.8824</v>
      </c>
      <c r="N102" s="41">
        <v>0.7273</v>
      </c>
      <c r="O102" s="41">
        <v>0.7619</v>
      </c>
      <c r="P102" s="41">
        <v>0.7619</v>
      </c>
      <c r="Q102" s="41">
        <v>0.9524</v>
      </c>
      <c r="R102" s="41">
        <v>1.0</v>
      </c>
      <c r="S102" s="41">
        <v>0.7619</v>
      </c>
      <c r="T102" s="41">
        <v>0.9524</v>
      </c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customHeight="1">
      <c r="A103" s="50" t="s">
        <v>235</v>
      </c>
      <c r="B103" s="50" t="s">
        <v>236</v>
      </c>
      <c r="C103" s="50">
        <v>16.0</v>
      </c>
      <c r="D103" s="50">
        <v>1.5120525065E10</v>
      </c>
      <c r="E103" s="50">
        <v>2.50007108E8</v>
      </c>
      <c r="F103" s="51" t="s">
        <v>262</v>
      </c>
      <c r="G103" s="41" t="str">
        <f t="shared" si="5"/>
        <v>OK</v>
      </c>
      <c r="H103" s="44">
        <f t="shared" si="6"/>
        <v>16</v>
      </c>
      <c r="I103" s="44">
        <f t="shared" si="7"/>
        <v>258</v>
      </c>
      <c r="J103" s="44">
        <f t="shared" si="8"/>
        <v>0</v>
      </c>
      <c r="K103" s="41"/>
      <c r="L103" s="41">
        <v>0.9048</v>
      </c>
      <c r="M103" s="41">
        <v>0.8824</v>
      </c>
      <c r="N103" s="41">
        <v>1.0</v>
      </c>
      <c r="O103" s="41">
        <v>1.0</v>
      </c>
      <c r="P103" s="41">
        <v>0.9524</v>
      </c>
      <c r="Q103" s="41">
        <v>0.9048</v>
      </c>
      <c r="R103" s="41">
        <v>0.9524</v>
      </c>
      <c r="S103" s="41">
        <v>1.0</v>
      </c>
      <c r="T103" s="41">
        <v>1.0</v>
      </c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customHeight="1">
      <c r="A104" s="50" t="s">
        <v>235</v>
      </c>
      <c r="B104" s="50" t="s">
        <v>236</v>
      </c>
      <c r="C104" s="50">
        <v>17.0</v>
      </c>
      <c r="D104" s="50">
        <v>1.5120525104E10</v>
      </c>
      <c r="E104" s="50">
        <v>2.50007109E8</v>
      </c>
      <c r="F104" s="51" t="s">
        <v>264</v>
      </c>
      <c r="G104" s="41" t="str">
        <f t="shared" si="5"/>
        <v>OK</v>
      </c>
      <c r="H104" s="44">
        <f t="shared" si="6"/>
        <v>7</v>
      </c>
      <c r="I104" s="44">
        <f t="shared" si="7"/>
        <v>236</v>
      </c>
      <c r="J104" s="44">
        <f t="shared" si="8"/>
        <v>0</v>
      </c>
      <c r="K104" s="41"/>
      <c r="L104" s="41">
        <v>0.9048</v>
      </c>
      <c r="M104" s="41">
        <v>0.9412</v>
      </c>
      <c r="N104" s="41">
        <v>0.7727</v>
      </c>
      <c r="O104" s="41">
        <v>1.0</v>
      </c>
      <c r="P104" s="41">
        <v>0.7619</v>
      </c>
      <c r="Q104" s="41">
        <v>0.8571</v>
      </c>
      <c r="R104" s="41">
        <v>0.619</v>
      </c>
      <c r="S104" s="41">
        <v>1.0</v>
      </c>
      <c r="T104" s="41">
        <v>1.0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customHeight="1">
      <c r="A105" s="50" t="s">
        <v>235</v>
      </c>
      <c r="B105" s="50" t="s">
        <v>236</v>
      </c>
      <c r="C105" s="50">
        <v>18.0</v>
      </c>
      <c r="D105" s="50">
        <v>1.5120525152E10</v>
      </c>
      <c r="E105" s="50">
        <v>2.50007111E8</v>
      </c>
      <c r="F105" s="51" t="s">
        <v>266</v>
      </c>
      <c r="G105" s="41" t="str">
        <f t="shared" si="5"/>
        <v>Pending</v>
      </c>
      <c r="H105" s="44">
        <f t="shared" si="6"/>
        <v>-20</v>
      </c>
      <c r="I105" s="44">
        <f t="shared" si="7"/>
        <v>161</v>
      </c>
      <c r="J105" s="44">
        <f t="shared" si="8"/>
        <v>55</v>
      </c>
      <c r="K105" s="41"/>
      <c r="L105" s="41">
        <v>0.0</v>
      </c>
      <c r="M105" s="41">
        <v>0.0</v>
      </c>
      <c r="N105" s="41">
        <v>0.0455</v>
      </c>
      <c r="O105" s="41">
        <v>0.9048</v>
      </c>
      <c r="P105" s="41">
        <v>0.9524</v>
      </c>
      <c r="Q105" s="41">
        <v>0.8095</v>
      </c>
      <c r="R105" s="41">
        <v>1.0</v>
      </c>
      <c r="S105" s="41">
        <v>0.8095</v>
      </c>
      <c r="T105" s="41">
        <v>0.8571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customHeight="1">
      <c r="A106" s="50" t="s">
        <v>235</v>
      </c>
      <c r="B106" s="50" t="s">
        <v>236</v>
      </c>
      <c r="C106" s="50">
        <v>19.0</v>
      </c>
      <c r="D106" s="50">
        <v>1.5120525086E10</v>
      </c>
      <c r="E106" s="50">
        <v>2.50007112E8</v>
      </c>
      <c r="F106" s="51" t="s">
        <v>268</v>
      </c>
      <c r="G106" s="41" t="str">
        <f t="shared" si="5"/>
        <v>OK</v>
      </c>
      <c r="H106" s="44">
        <f t="shared" si="6"/>
        <v>17</v>
      </c>
      <c r="I106" s="44">
        <f t="shared" si="7"/>
        <v>263</v>
      </c>
      <c r="J106" s="44">
        <f t="shared" si="8"/>
        <v>0</v>
      </c>
      <c r="K106" s="41"/>
      <c r="L106" s="41">
        <v>0.9048</v>
      </c>
      <c r="M106" s="41">
        <v>0.9412</v>
      </c>
      <c r="N106" s="41">
        <v>1.0</v>
      </c>
      <c r="O106" s="41">
        <v>1.0</v>
      </c>
      <c r="P106" s="41">
        <v>1.0</v>
      </c>
      <c r="Q106" s="41">
        <v>0.9048</v>
      </c>
      <c r="R106" s="41">
        <v>1.0</v>
      </c>
      <c r="S106" s="41">
        <v>1.0</v>
      </c>
      <c r="T106" s="41">
        <v>1.0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customHeight="1">
      <c r="A107" s="50" t="s">
        <v>235</v>
      </c>
      <c r="B107" s="50" t="s">
        <v>236</v>
      </c>
      <c r="C107" s="50">
        <v>20.0</v>
      </c>
      <c r="D107" s="50">
        <v>1.5120525095E10</v>
      </c>
      <c r="E107" s="50">
        <v>2.50007113E8</v>
      </c>
      <c r="F107" s="51" t="s">
        <v>270</v>
      </c>
      <c r="G107" s="41" t="str">
        <f t="shared" si="5"/>
        <v>OK</v>
      </c>
      <c r="H107" s="44">
        <f t="shared" si="6"/>
        <v>10</v>
      </c>
      <c r="I107" s="44">
        <f t="shared" si="7"/>
        <v>243</v>
      </c>
      <c r="J107" s="44">
        <f t="shared" si="8"/>
        <v>0</v>
      </c>
      <c r="K107" s="41"/>
      <c r="L107" s="41">
        <v>0.6667</v>
      </c>
      <c r="M107" s="41">
        <v>0.9412</v>
      </c>
      <c r="N107" s="41">
        <v>1.0</v>
      </c>
      <c r="O107" s="41">
        <v>1.0</v>
      </c>
      <c r="P107" s="41">
        <v>0.8571</v>
      </c>
      <c r="Q107" s="41">
        <v>0.9048</v>
      </c>
      <c r="R107" s="41">
        <v>0.7619</v>
      </c>
      <c r="S107" s="41">
        <v>0.9524</v>
      </c>
      <c r="T107" s="41">
        <v>1.0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customHeight="1">
      <c r="A108" s="50" t="s">
        <v>235</v>
      </c>
      <c r="B108" s="50" t="s">
        <v>236</v>
      </c>
      <c r="C108" s="50">
        <v>21.0</v>
      </c>
      <c r="D108" s="50">
        <v>1.5120525009E10</v>
      </c>
      <c r="E108" s="50">
        <v>2.50007114E8</v>
      </c>
      <c r="F108" s="51" t="s">
        <v>271</v>
      </c>
      <c r="G108" s="41" t="str">
        <f t="shared" si="5"/>
        <v>OK</v>
      </c>
      <c r="H108" s="44">
        <f t="shared" si="6"/>
        <v>9</v>
      </c>
      <c r="I108" s="44">
        <f t="shared" si="7"/>
        <v>242</v>
      </c>
      <c r="J108" s="44">
        <f t="shared" si="8"/>
        <v>0</v>
      </c>
      <c r="K108" s="41"/>
      <c r="L108" s="41">
        <v>0.9048</v>
      </c>
      <c r="M108" s="41">
        <v>0.9412</v>
      </c>
      <c r="N108" s="41">
        <v>0.6818</v>
      </c>
      <c r="O108" s="41">
        <v>1.0</v>
      </c>
      <c r="P108" s="41">
        <v>0.8095</v>
      </c>
      <c r="Q108" s="41">
        <v>0.8095</v>
      </c>
      <c r="R108" s="41">
        <v>0.9524</v>
      </c>
      <c r="S108" s="41">
        <v>0.9524</v>
      </c>
      <c r="T108" s="41">
        <v>1.0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customHeight="1">
      <c r="A109" s="50" t="s">
        <v>235</v>
      </c>
      <c r="B109" s="50" t="s">
        <v>236</v>
      </c>
      <c r="C109" s="50">
        <v>22.0</v>
      </c>
      <c r="D109" s="50">
        <v>1.5120525043E10</v>
      </c>
      <c r="E109" s="50">
        <v>2.50007115E8</v>
      </c>
      <c r="F109" s="51" t="s">
        <v>273</v>
      </c>
      <c r="G109" s="41" t="str">
        <f t="shared" si="5"/>
        <v>Pending</v>
      </c>
      <c r="H109" s="44">
        <f t="shared" si="6"/>
        <v>-80</v>
      </c>
      <c r="I109" s="44">
        <f t="shared" si="7"/>
        <v>0</v>
      </c>
      <c r="J109" s="44">
        <f t="shared" si="8"/>
        <v>216</v>
      </c>
      <c r="K109" s="41"/>
      <c r="L109" s="41">
        <v>0.0</v>
      </c>
      <c r="M109" s="41">
        <v>0.0</v>
      </c>
      <c r="N109" s="41">
        <v>0.0</v>
      </c>
      <c r="O109" s="41">
        <v>0.0</v>
      </c>
      <c r="P109" s="41">
        <v>0.0</v>
      </c>
      <c r="Q109" s="41">
        <v>0.0</v>
      </c>
      <c r="R109" s="41">
        <v>0.0</v>
      </c>
      <c r="S109" s="41">
        <v>0.0</v>
      </c>
      <c r="T109" s="41">
        <v>0.0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customHeight="1">
      <c r="A110" s="50" t="s">
        <v>235</v>
      </c>
      <c r="B110" s="50" t="s">
        <v>236</v>
      </c>
      <c r="C110" s="50">
        <v>23.0</v>
      </c>
      <c r="D110" s="50">
        <v>1.5120525048E10</v>
      </c>
      <c r="E110" s="50">
        <v>2.50007116E8</v>
      </c>
      <c r="F110" s="51" t="s">
        <v>275</v>
      </c>
      <c r="G110" s="41" t="str">
        <f t="shared" si="5"/>
        <v>Pending</v>
      </c>
      <c r="H110" s="44">
        <f t="shared" si="6"/>
        <v>-9</v>
      </c>
      <c r="I110" s="44">
        <f t="shared" si="7"/>
        <v>192</v>
      </c>
      <c r="J110" s="44">
        <f t="shared" si="8"/>
        <v>24</v>
      </c>
      <c r="K110" s="41"/>
      <c r="L110" s="41">
        <v>0.8571</v>
      </c>
      <c r="M110" s="41">
        <v>0.4706</v>
      </c>
      <c r="N110" s="41">
        <v>0.7273</v>
      </c>
      <c r="O110" s="41">
        <v>0.8571</v>
      </c>
      <c r="P110" s="41">
        <v>0.9048</v>
      </c>
      <c r="Q110" s="41">
        <v>0.5714</v>
      </c>
      <c r="R110" s="41">
        <v>0.2857</v>
      </c>
      <c r="S110" s="41">
        <v>0.8571</v>
      </c>
      <c r="T110" s="41">
        <v>0.8571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customHeight="1">
      <c r="A111" s="50" t="s">
        <v>235</v>
      </c>
      <c r="B111" s="50" t="s">
        <v>236</v>
      </c>
      <c r="C111" s="50">
        <v>24.0</v>
      </c>
      <c r="D111" s="50">
        <v>1.51205251E10</v>
      </c>
      <c r="E111" s="50">
        <v>2.50007117E8</v>
      </c>
      <c r="F111" s="51" t="s">
        <v>277</v>
      </c>
      <c r="G111" s="41" t="str">
        <f t="shared" si="5"/>
        <v>Pending</v>
      </c>
      <c r="H111" s="44">
        <f t="shared" si="6"/>
        <v>-21</v>
      </c>
      <c r="I111" s="44">
        <f t="shared" si="7"/>
        <v>160</v>
      </c>
      <c r="J111" s="44">
        <f t="shared" si="8"/>
        <v>56</v>
      </c>
      <c r="K111" s="41"/>
      <c r="L111" s="41">
        <v>0.7619</v>
      </c>
      <c r="M111" s="41">
        <v>0.5882</v>
      </c>
      <c r="N111" s="41">
        <v>0.6818</v>
      </c>
      <c r="O111" s="41">
        <v>0.9048</v>
      </c>
      <c r="P111" s="41">
        <v>0.8095</v>
      </c>
      <c r="Q111" s="41">
        <v>0.7143</v>
      </c>
      <c r="R111" s="41">
        <v>0.6667</v>
      </c>
      <c r="S111" s="41">
        <v>0.0</v>
      </c>
      <c r="T111" s="41">
        <v>0.1905</v>
      </c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customHeight="1">
      <c r="A112" s="50" t="s">
        <v>235</v>
      </c>
      <c r="B112" s="50" t="s">
        <v>236</v>
      </c>
      <c r="C112" s="50">
        <v>25.0</v>
      </c>
      <c r="D112" s="50">
        <v>1.5120525046E10</v>
      </c>
      <c r="E112" s="50">
        <v>2.50007118E8</v>
      </c>
      <c r="F112" s="51" t="s">
        <v>279</v>
      </c>
      <c r="G112" s="41" t="str">
        <f t="shared" si="5"/>
        <v>Pending</v>
      </c>
      <c r="H112" s="44">
        <f t="shared" si="6"/>
        <v>-5</v>
      </c>
      <c r="I112" s="44">
        <f t="shared" si="7"/>
        <v>202</v>
      </c>
      <c r="J112" s="44">
        <f t="shared" si="8"/>
        <v>14</v>
      </c>
      <c r="K112" s="41"/>
      <c r="L112" s="41">
        <v>0.7619</v>
      </c>
      <c r="M112" s="41">
        <v>0.5882</v>
      </c>
      <c r="N112" s="41">
        <v>0.7727</v>
      </c>
      <c r="O112" s="41">
        <v>0.8095</v>
      </c>
      <c r="P112" s="41">
        <v>0.8571</v>
      </c>
      <c r="Q112" s="41">
        <v>0.6667</v>
      </c>
      <c r="R112" s="41">
        <v>0.6667</v>
      </c>
      <c r="S112" s="41">
        <v>0.8571</v>
      </c>
      <c r="T112" s="41">
        <v>0.7619</v>
      </c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customHeight="1">
      <c r="A113" s="50" t="s">
        <v>235</v>
      </c>
      <c r="B113" s="50" t="s">
        <v>236</v>
      </c>
      <c r="C113" s="50">
        <v>26.0</v>
      </c>
      <c r="D113" s="50">
        <v>1.5120525004E10</v>
      </c>
      <c r="E113" s="50">
        <v>2.50007119E8</v>
      </c>
      <c r="F113" s="51" t="s">
        <v>281</v>
      </c>
      <c r="G113" s="41" t="str">
        <f t="shared" si="5"/>
        <v>OK</v>
      </c>
      <c r="H113" s="44">
        <f t="shared" si="6"/>
        <v>6</v>
      </c>
      <c r="I113" s="44">
        <f t="shared" si="7"/>
        <v>232</v>
      </c>
      <c r="J113" s="44">
        <f t="shared" si="8"/>
        <v>0</v>
      </c>
      <c r="K113" s="41"/>
      <c r="L113" s="41">
        <v>0.8571</v>
      </c>
      <c r="M113" s="41">
        <v>0.8824</v>
      </c>
      <c r="N113" s="41">
        <v>0.9091</v>
      </c>
      <c r="O113" s="41">
        <v>0.9048</v>
      </c>
      <c r="P113" s="41">
        <v>0.9524</v>
      </c>
      <c r="Q113" s="41">
        <v>0.9524</v>
      </c>
      <c r="R113" s="41">
        <v>0.7619</v>
      </c>
      <c r="S113" s="41">
        <v>0.7143</v>
      </c>
      <c r="T113" s="41">
        <v>0.8095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customHeight="1">
      <c r="A114" s="50" t="s">
        <v>235</v>
      </c>
      <c r="B114" s="50" t="s">
        <v>236</v>
      </c>
      <c r="C114" s="50">
        <v>27.0</v>
      </c>
      <c r="D114" s="50">
        <v>1.5120525012E10</v>
      </c>
      <c r="E114" s="50">
        <v>2.5000712E8</v>
      </c>
      <c r="F114" s="51" t="s">
        <v>283</v>
      </c>
      <c r="G114" s="41" t="str">
        <f t="shared" si="5"/>
        <v>OK</v>
      </c>
      <c r="H114" s="44">
        <f t="shared" si="6"/>
        <v>8</v>
      </c>
      <c r="I114" s="44">
        <f t="shared" si="7"/>
        <v>238</v>
      </c>
      <c r="J114" s="44">
        <f t="shared" si="8"/>
        <v>0</v>
      </c>
      <c r="K114" s="41"/>
      <c r="L114" s="41">
        <v>0.8571</v>
      </c>
      <c r="M114" s="41">
        <v>0.8824</v>
      </c>
      <c r="N114" s="41">
        <v>1.0</v>
      </c>
      <c r="O114" s="41">
        <v>1.0</v>
      </c>
      <c r="P114" s="41">
        <v>0.9524</v>
      </c>
      <c r="Q114" s="41">
        <v>0.9048</v>
      </c>
      <c r="R114" s="41">
        <v>0.9524</v>
      </c>
      <c r="S114" s="41">
        <v>0.381</v>
      </c>
      <c r="T114" s="41">
        <v>1.0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customHeight="1">
      <c r="A115" s="50" t="s">
        <v>235</v>
      </c>
      <c r="B115" s="50" t="s">
        <v>236</v>
      </c>
      <c r="C115" s="50">
        <v>28.0</v>
      </c>
      <c r="D115" s="50">
        <v>1.5120525133E10</v>
      </c>
      <c r="E115" s="50">
        <v>2.50007121E8</v>
      </c>
      <c r="F115" s="51" t="s">
        <v>285</v>
      </c>
      <c r="G115" s="41" t="str">
        <f t="shared" si="5"/>
        <v>OK</v>
      </c>
      <c r="H115" s="44">
        <f t="shared" si="6"/>
        <v>9</v>
      </c>
      <c r="I115" s="44">
        <f t="shared" si="7"/>
        <v>241</v>
      </c>
      <c r="J115" s="44">
        <f t="shared" si="8"/>
        <v>0</v>
      </c>
      <c r="K115" s="41"/>
      <c r="L115" s="41">
        <v>0.9048</v>
      </c>
      <c r="M115" s="41">
        <v>0.8824</v>
      </c>
      <c r="N115" s="41">
        <v>0.9545</v>
      </c>
      <c r="O115" s="41">
        <v>0.9524</v>
      </c>
      <c r="P115" s="41">
        <v>0.8095</v>
      </c>
      <c r="Q115" s="41">
        <v>0.8095</v>
      </c>
      <c r="R115" s="41">
        <v>0.8095</v>
      </c>
      <c r="S115" s="41">
        <v>0.9524</v>
      </c>
      <c r="T115" s="41">
        <v>0.9524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customHeight="1">
      <c r="A116" s="50" t="s">
        <v>235</v>
      </c>
      <c r="B116" s="50" t="s">
        <v>236</v>
      </c>
      <c r="C116" s="50">
        <v>29.0</v>
      </c>
      <c r="D116" s="50">
        <v>1.5120525108E10</v>
      </c>
      <c r="E116" s="50">
        <v>2.50007123E8</v>
      </c>
      <c r="F116" s="51" t="s">
        <v>287</v>
      </c>
      <c r="G116" s="41" t="str">
        <f t="shared" si="5"/>
        <v>Pending</v>
      </c>
      <c r="H116" s="44">
        <f t="shared" si="6"/>
        <v>-78</v>
      </c>
      <c r="I116" s="44">
        <f t="shared" si="7"/>
        <v>6</v>
      </c>
      <c r="J116" s="44">
        <f t="shared" si="8"/>
        <v>210</v>
      </c>
      <c r="K116" s="41"/>
      <c r="L116" s="41">
        <v>0.0</v>
      </c>
      <c r="M116" s="41">
        <v>0.0588</v>
      </c>
      <c r="N116" s="41">
        <v>0.0455</v>
      </c>
      <c r="O116" s="41">
        <v>0.0</v>
      </c>
      <c r="P116" s="41">
        <v>0.0476</v>
      </c>
      <c r="Q116" s="41">
        <v>0.0</v>
      </c>
      <c r="R116" s="41">
        <v>0.0</v>
      </c>
      <c r="S116" s="41">
        <v>0.0</v>
      </c>
      <c r="T116" s="41">
        <v>0.0476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customHeight="1">
      <c r="A117" s="50" t="s">
        <v>235</v>
      </c>
      <c r="B117" s="50" t="s">
        <v>236</v>
      </c>
      <c r="C117" s="50">
        <v>32.0</v>
      </c>
      <c r="D117" s="50">
        <v>1.5120525053E10</v>
      </c>
      <c r="E117" s="50">
        <v>2.50007126E8</v>
      </c>
      <c r="F117" s="51" t="s">
        <v>289</v>
      </c>
      <c r="G117" s="41" t="str">
        <f t="shared" si="5"/>
        <v>OK</v>
      </c>
      <c r="H117" s="44">
        <f t="shared" si="6"/>
        <v>9</v>
      </c>
      <c r="I117" s="44">
        <f t="shared" si="7"/>
        <v>241</v>
      </c>
      <c r="J117" s="44">
        <f t="shared" si="8"/>
        <v>0</v>
      </c>
      <c r="K117" s="41"/>
      <c r="L117" s="41">
        <v>0.7619</v>
      </c>
      <c r="M117" s="41">
        <v>0.8235</v>
      </c>
      <c r="N117" s="41">
        <v>0.8636</v>
      </c>
      <c r="O117" s="41">
        <v>0.9524</v>
      </c>
      <c r="P117" s="41">
        <v>0.9048</v>
      </c>
      <c r="Q117" s="41">
        <v>0.9524</v>
      </c>
      <c r="R117" s="41">
        <v>0.8571</v>
      </c>
      <c r="S117" s="41">
        <v>0.9524</v>
      </c>
      <c r="T117" s="41">
        <v>0.9524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customHeight="1">
      <c r="A118" s="50" t="s">
        <v>235</v>
      </c>
      <c r="B118" s="50" t="s">
        <v>291</v>
      </c>
      <c r="C118" s="50">
        <v>33.0</v>
      </c>
      <c r="D118" s="50">
        <v>1.5120525151E10</v>
      </c>
      <c r="E118" s="50">
        <v>2.50007127E8</v>
      </c>
      <c r="F118" s="51" t="s">
        <v>292</v>
      </c>
      <c r="G118" s="41" t="str">
        <f t="shared" si="5"/>
        <v>OK</v>
      </c>
      <c r="H118" s="44">
        <f t="shared" si="6"/>
        <v>16</v>
      </c>
      <c r="I118" s="44">
        <f t="shared" si="7"/>
        <v>258</v>
      </c>
      <c r="J118" s="44">
        <f t="shared" si="8"/>
        <v>0</v>
      </c>
      <c r="K118" s="41"/>
      <c r="L118" s="41">
        <v>0.9524</v>
      </c>
      <c r="M118" s="41">
        <v>0.8824</v>
      </c>
      <c r="N118" s="41">
        <v>1.0</v>
      </c>
      <c r="O118" s="41">
        <v>0.9524</v>
      </c>
      <c r="P118" s="41">
        <v>1.0</v>
      </c>
      <c r="Q118" s="41">
        <v>0.9524</v>
      </c>
      <c r="R118" s="41">
        <v>1.0</v>
      </c>
      <c r="S118" s="41">
        <v>1.0</v>
      </c>
      <c r="T118" s="41">
        <v>0.8571</v>
      </c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customHeight="1">
      <c r="A119" s="50" t="s">
        <v>235</v>
      </c>
      <c r="B119" s="50" t="s">
        <v>291</v>
      </c>
      <c r="C119" s="50">
        <v>34.0</v>
      </c>
      <c r="D119" s="50">
        <v>1.5120525074E10</v>
      </c>
      <c r="E119" s="50">
        <v>2.50007128E8</v>
      </c>
      <c r="F119" s="51" t="s">
        <v>294</v>
      </c>
      <c r="G119" s="41" t="str">
        <f t="shared" si="5"/>
        <v>OK</v>
      </c>
      <c r="H119" s="44">
        <f t="shared" si="6"/>
        <v>18</v>
      </c>
      <c r="I119" s="44">
        <f t="shared" si="7"/>
        <v>266</v>
      </c>
      <c r="J119" s="44">
        <f t="shared" si="8"/>
        <v>0</v>
      </c>
      <c r="K119" s="41"/>
      <c r="L119" s="41">
        <v>1.0</v>
      </c>
      <c r="M119" s="41">
        <v>1.0</v>
      </c>
      <c r="N119" s="41">
        <v>1.0</v>
      </c>
      <c r="O119" s="41">
        <v>0.9524</v>
      </c>
      <c r="P119" s="41">
        <v>0.9048</v>
      </c>
      <c r="Q119" s="41">
        <v>1.0</v>
      </c>
      <c r="R119" s="41">
        <v>1.0</v>
      </c>
      <c r="S119" s="41">
        <v>1.0</v>
      </c>
      <c r="T119" s="41">
        <v>1.0</v>
      </c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customHeight="1">
      <c r="A120" s="50" t="s">
        <v>235</v>
      </c>
      <c r="B120" s="50" t="s">
        <v>291</v>
      </c>
      <c r="C120" s="50">
        <v>35.0</v>
      </c>
      <c r="D120" s="50">
        <v>1.512052508E10</v>
      </c>
      <c r="E120" s="50">
        <v>2.50007129E8</v>
      </c>
      <c r="F120" s="51" t="s">
        <v>296</v>
      </c>
      <c r="G120" s="41" t="str">
        <f t="shared" si="5"/>
        <v>Pending</v>
      </c>
      <c r="H120" s="44">
        <f t="shared" si="6"/>
        <v>-20</v>
      </c>
      <c r="I120" s="44">
        <f t="shared" si="7"/>
        <v>162</v>
      </c>
      <c r="J120" s="44">
        <f t="shared" si="8"/>
        <v>54</v>
      </c>
      <c r="K120" s="41"/>
      <c r="L120" s="41">
        <v>0.1905</v>
      </c>
      <c r="M120" s="41">
        <v>0.0</v>
      </c>
      <c r="N120" s="41">
        <v>0.5909</v>
      </c>
      <c r="O120" s="41">
        <v>1.0</v>
      </c>
      <c r="P120" s="41">
        <v>1.0</v>
      </c>
      <c r="Q120" s="41">
        <v>0.619</v>
      </c>
      <c r="R120" s="41">
        <v>0.9048</v>
      </c>
      <c r="S120" s="41">
        <v>0.3333</v>
      </c>
      <c r="T120" s="41">
        <v>0.7619</v>
      </c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customHeight="1">
      <c r="A121" s="50" t="s">
        <v>235</v>
      </c>
      <c r="B121" s="50" t="s">
        <v>291</v>
      </c>
      <c r="C121" s="50">
        <v>36.0</v>
      </c>
      <c r="D121" s="50">
        <v>1.5120525002E10</v>
      </c>
      <c r="E121" s="50">
        <v>2.5000713E8</v>
      </c>
      <c r="F121" s="51" t="s">
        <v>298</v>
      </c>
      <c r="G121" s="41" t="str">
        <f t="shared" si="5"/>
        <v>OK</v>
      </c>
      <c r="H121" s="44">
        <f t="shared" si="6"/>
        <v>14</v>
      </c>
      <c r="I121" s="44">
        <f t="shared" si="7"/>
        <v>253</v>
      </c>
      <c r="J121" s="44">
        <f t="shared" si="8"/>
        <v>0</v>
      </c>
      <c r="K121" s="41"/>
      <c r="L121" s="41">
        <v>1.0</v>
      </c>
      <c r="M121" s="41">
        <v>1.0</v>
      </c>
      <c r="N121" s="41">
        <v>1.0</v>
      </c>
      <c r="O121" s="41">
        <v>0.9524</v>
      </c>
      <c r="P121" s="41">
        <v>0.9524</v>
      </c>
      <c r="Q121" s="41">
        <v>1.0</v>
      </c>
      <c r="R121" s="41">
        <v>0.8571</v>
      </c>
      <c r="S121" s="41">
        <v>0.9048</v>
      </c>
      <c r="T121" s="41">
        <v>0.7619</v>
      </c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customHeight="1">
      <c r="A122" s="50" t="s">
        <v>235</v>
      </c>
      <c r="B122" s="50" t="s">
        <v>291</v>
      </c>
      <c r="C122" s="50">
        <v>37.0</v>
      </c>
      <c r="D122" s="50">
        <v>1.5120525059E10</v>
      </c>
      <c r="E122" s="50">
        <v>2.50007131E8</v>
      </c>
      <c r="F122" s="51" t="s">
        <v>299</v>
      </c>
      <c r="G122" s="41" t="str">
        <f t="shared" si="5"/>
        <v>OK</v>
      </c>
      <c r="H122" s="44">
        <f t="shared" si="6"/>
        <v>17</v>
      </c>
      <c r="I122" s="44">
        <f t="shared" si="7"/>
        <v>261</v>
      </c>
      <c r="J122" s="44">
        <f t="shared" si="8"/>
        <v>0</v>
      </c>
      <c r="K122" s="41"/>
      <c r="L122" s="41">
        <v>1.0</v>
      </c>
      <c r="M122" s="41">
        <v>1.0</v>
      </c>
      <c r="N122" s="41">
        <v>0.9545</v>
      </c>
      <c r="O122" s="41">
        <v>1.0</v>
      </c>
      <c r="P122" s="41">
        <v>1.0</v>
      </c>
      <c r="Q122" s="41">
        <v>0.9524</v>
      </c>
      <c r="R122" s="41">
        <v>1.0</v>
      </c>
      <c r="S122" s="41">
        <v>0.8095</v>
      </c>
      <c r="T122" s="41">
        <v>1.0</v>
      </c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50" t="s">
        <v>235</v>
      </c>
      <c r="B123" s="50" t="s">
        <v>291</v>
      </c>
      <c r="C123" s="50">
        <v>38.0</v>
      </c>
      <c r="D123" s="50">
        <v>1.5120525072E10</v>
      </c>
      <c r="E123" s="50">
        <v>2.50007132E8</v>
      </c>
      <c r="F123" s="51" t="s">
        <v>301</v>
      </c>
      <c r="G123" s="41" t="str">
        <f t="shared" si="5"/>
        <v>OK</v>
      </c>
      <c r="H123" s="44">
        <f t="shared" si="6"/>
        <v>14</v>
      </c>
      <c r="I123" s="44">
        <f t="shared" si="7"/>
        <v>253</v>
      </c>
      <c r="J123" s="44">
        <f t="shared" si="8"/>
        <v>0</v>
      </c>
      <c r="K123" s="41"/>
      <c r="L123" s="41">
        <v>1.0</v>
      </c>
      <c r="M123" s="41">
        <v>1.0</v>
      </c>
      <c r="N123" s="41">
        <v>0.8636</v>
      </c>
      <c r="O123" s="41">
        <v>0.9524</v>
      </c>
      <c r="P123" s="41">
        <v>0.9048</v>
      </c>
      <c r="Q123" s="41">
        <v>1.0</v>
      </c>
      <c r="R123" s="41">
        <v>0.9048</v>
      </c>
      <c r="S123" s="41">
        <v>0.8571</v>
      </c>
      <c r="T123" s="41">
        <v>0.9524</v>
      </c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5.75" customHeight="1">
      <c r="A124" s="50" t="s">
        <v>235</v>
      </c>
      <c r="B124" s="50" t="s">
        <v>291</v>
      </c>
      <c r="C124" s="50">
        <v>39.0</v>
      </c>
      <c r="D124" s="50">
        <v>1.5120525145E10</v>
      </c>
      <c r="E124" s="50">
        <v>2.50007133E8</v>
      </c>
      <c r="F124" s="51" t="s">
        <v>303</v>
      </c>
      <c r="G124" s="41" t="str">
        <f t="shared" si="5"/>
        <v>Pending</v>
      </c>
      <c r="H124" s="44">
        <f t="shared" si="6"/>
        <v>-62</v>
      </c>
      <c r="I124" s="44">
        <f t="shared" si="7"/>
        <v>47</v>
      </c>
      <c r="J124" s="44">
        <f t="shared" si="8"/>
        <v>169</v>
      </c>
      <c r="K124" s="41"/>
      <c r="L124" s="41">
        <v>0.1905</v>
      </c>
      <c r="M124" s="41">
        <v>0.3529</v>
      </c>
      <c r="N124" s="41">
        <v>0.2273</v>
      </c>
      <c r="O124" s="41">
        <v>0.1905</v>
      </c>
      <c r="P124" s="41">
        <v>0.4286</v>
      </c>
      <c r="Q124" s="41">
        <v>0.0476</v>
      </c>
      <c r="R124" s="41">
        <v>0.0476</v>
      </c>
      <c r="S124" s="41">
        <v>0.0476</v>
      </c>
      <c r="T124" s="41">
        <v>0.0476</v>
      </c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5.75" customHeight="1">
      <c r="A125" s="50" t="s">
        <v>235</v>
      </c>
      <c r="B125" s="50" t="s">
        <v>291</v>
      </c>
      <c r="C125" s="50">
        <v>40.0</v>
      </c>
      <c r="D125" s="50">
        <v>1.5120525025E10</v>
      </c>
      <c r="E125" s="50">
        <v>2.50007134E8</v>
      </c>
      <c r="F125" s="51" t="s">
        <v>305</v>
      </c>
      <c r="G125" s="41" t="str">
        <f t="shared" si="5"/>
        <v>OK</v>
      </c>
      <c r="H125" s="44">
        <f t="shared" si="6"/>
        <v>16</v>
      </c>
      <c r="I125" s="44">
        <f t="shared" si="7"/>
        <v>260</v>
      </c>
      <c r="J125" s="44">
        <f t="shared" si="8"/>
        <v>0</v>
      </c>
      <c r="K125" s="41"/>
      <c r="L125" s="41">
        <v>1.0</v>
      </c>
      <c r="M125" s="41">
        <v>1.0</v>
      </c>
      <c r="N125" s="41">
        <v>0.9545</v>
      </c>
      <c r="O125" s="41">
        <v>1.0</v>
      </c>
      <c r="P125" s="41">
        <v>1.0</v>
      </c>
      <c r="Q125" s="41">
        <v>0.8095</v>
      </c>
      <c r="R125" s="41">
        <v>0.9524</v>
      </c>
      <c r="S125" s="41">
        <v>0.9524</v>
      </c>
      <c r="T125" s="41">
        <v>1.0</v>
      </c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5.75" customHeight="1">
      <c r="A126" s="50" t="s">
        <v>235</v>
      </c>
      <c r="B126" s="50" t="s">
        <v>291</v>
      </c>
      <c r="C126" s="50">
        <v>41.0</v>
      </c>
      <c r="D126" s="50">
        <v>1.5120525092E10</v>
      </c>
      <c r="E126" s="50">
        <v>2.50007135E8</v>
      </c>
      <c r="F126" s="51" t="s">
        <v>307</v>
      </c>
      <c r="G126" s="41" t="str">
        <f t="shared" si="5"/>
        <v>OK</v>
      </c>
      <c r="H126" s="44">
        <f t="shared" si="6"/>
        <v>10</v>
      </c>
      <c r="I126" s="44">
        <f t="shared" si="7"/>
        <v>242</v>
      </c>
      <c r="J126" s="44">
        <f t="shared" si="8"/>
        <v>0</v>
      </c>
      <c r="K126" s="41"/>
      <c r="L126" s="41">
        <v>1.0</v>
      </c>
      <c r="M126" s="41">
        <v>0.8824</v>
      </c>
      <c r="N126" s="41">
        <v>0.9545</v>
      </c>
      <c r="O126" s="41">
        <v>0.4286</v>
      </c>
      <c r="P126" s="41">
        <v>1.0</v>
      </c>
      <c r="Q126" s="41">
        <v>0.9524</v>
      </c>
      <c r="R126" s="41">
        <v>0.9048</v>
      </c>
      <c r="S126" s="41">
        <v>0.9524</v>
      </c>
      <c r="T126" s="41">
        <v>1.0</v>
      </c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50" t="s">
        <v>235</v>
      </c>
      <c r="B127" s="50" t="s">
        <v>291</v>
      </c>
      <c r="C127" s="50">
        <v>42.0</v>
      </c>
      <c r="D127" s="50">
        <v>1.5120525008E10</v>
      </c>
      <c r="E127" s="50">
        <v>2.50007136E8</v>
      </c>
      <c r="F127" s="51" t="s">
        <v>310</v>
      </c>
      <c r="G127" s="41" t="str">
        <f t="shared" si="5"/>
        <v>OK</v>
      </c>
      <c r="H127" s="44">
        <f t="shared" si="6"/>
        <v>11</v>
      </c>
      <c r="I127" s="44">
        <f t="shared" si="7"/>
        <v>247</v>
      </c>
      <c r="J127" s="44">
        <f t="shared" si="8"/>
        <v>0</v>
      </c>
      <c r="K127" s="41"/>
      <c r="L127" s="41">
        <v>1.0</v>
      </c>
      <c r="M127" s="41">
        <v>0.9412</v>
      </c>
      <c r="N127" s="41">
        <v>0.9091</v>
      </c>
      <c r="O127" s="41">
        <v>0.9524</v>
      </c>
      <c r="P127" s="41">
        <v>0.7143</v>
      </c>
      <c r="Q127" s="41">
        <v>0.9048</v>
      </c>
      <c r="R127" s="41">
        <v>1.0</v>
      </c>
      <c r="S127" s="41">
        <v>0.8571</v>
      </c>
      <c r="T127" s="41">
        <v>0.9524</v>
      </c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5.75" customHeight="1">
      <c r="A128" s="50" t="s">
        <v>235</v>
      </c>
      <c r="B128" s="50" t="s">
        <v>291</v>
      </c>
      <c r="C128" s="50">
        <v>43.0</v>
      </c>
      <c r="D128" s="50">
        <v>1.5120525154E10</v>
      </c>
      <c r="E128" s="50">
        <v>2.50007137E8</v>
      </c>
      <c r="F128" s="51" t="s">
        <v>312</v>
      </c>
      <c r="G128" s="41" t="str">
        <f t="shared" si="5"/>
        <v>OK</v>
      </c>
      <c r="H128" s="44">
        <f t="shared" si="6"/>
        <v>4</v>
      </c>
      <c r="I128" s="44">
        <f t="shared" si="7"/>
        <v>226</v>
      </c>
      <c r="J128" s="44">
        <f t="shared" si="8"/>
        <v>0</v>
      </c>
      <c r="K128" s="41"/>
      <c r="L128" s="41">
        <v>1.0</v>
      </c>
      <c r="M128" s="41">
        <v>0.9412</v>
      </c>
      <c r="N128" s="41">
        <v>0.2273</v>
      </c>
      <c r="O128" s="41">
        <v>0.9524</v>
      </c>
      <c r="P128" s="41">
        <v>0.7143</v>
      </c>
      <c r="Q128" s="41">
        <v>0.7619</v>
      </c>
      <c r="R128" s="41">
        <v>0.9524</v>
      </c>
      <c r="S128" s="41">
        <v>1.0</v>
      </c>
      <c r="T128" s="41">
        <v>1.0</v>
      </c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5.75" customHeight="1">
      <c r="A129" s="50" t="s">
        <v>235</v>
      </c>
      <c r="B129" s="50" t="s">
        <v>291</v>
      </c>
      <c r="C129" s="50">
        <v>44.0</v>
      </c>
      <c r="D129" s="50">
        <v>1.5120525006E10</v>
      </c>
      <c r="E129" s="50">
        <v>2.50007138E8</v>
      </c>
      <c r="F129" s="51" t="s">
        <v>314</v>
      </c>
      <c r="G129" s="41" t="str">
        <f t="shared" si="5"/>
        <v>OK</v>
      </c>
      <c r="H129" s="44">
        <f t="shared" si="6"/>
        <v>20</v>
      </c>
      <c r="I129" s="44">
        <f t="shared" si="7"/>
        <v>270</v>
      </c>
      <c r="J129" s="44">
        <f t="shared" si="8"/>
        <v>0</v>
      </c>
      <c r="K129" s="41"/>
      <c r="L129" s="41">
        <v>1.0</v>
      </c>
      <c r="M129" s="41">
        <v>1.0</v>
      </c>
      <c r="N129" s="41">
        <v>1.0</v>
      </c>
      <c r="O129" s="41">
        <v>1.0</v>
      </c>
      <c r="P129" s="41">
        <v>1.0</v>
      </c>
      <c r="Q129" s="41">
        <v>1.0</v>
      </c>
      <c r="R129" s="41">
        <v>1.0</v>
      </c>
      <c r="S129" s="41">
        <v>1.0</v>
      </c>
      <c r="T129" s="41">
        <v>1.0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5.75" customHeight="1">
      <c r="A130" s="50" t="s">
        <v>235</v>
      </c>
      <c r="B130" s="50" t="s">
        <v>291</v>
      </c>
      <c r="C130" s="50">
        <v>45.0</v>
      </c>
      <c r="D130" s="50">
        <v>1.5120525007E10</v>
      </c>
      <c r="E130" s="50">
        <v>2.50007139E8</v>
      </c>
      <c r="F130" s="51" t="s">
        <v>316</v>
      </c>
      <c r="G130" s="41" t="str">
        <f t="shared" si="5"/>
        <v>OK</v>
      </c>
      <c r="H130" s="44">
        <f t="shared" si="6"/>
        <v>17</v>
      </c>
      <c r="I130" s="44">
        <f t="shared" si="7"/>
        <v>263</v>
      </c>
      <c r="J130" s="44">
        <f t="shared" si="8"/>
        <v>0</v>
      </c>
      <c r="K130" s="41"/>
      <c r="L130" s="41">
        <v>0.7619</v>
      </c>
      <c r="M130" s="41">
        <v>1.0</v>
      </c>
      <c r="N130" s="41">
        <v>1.0</v>
      </c>
      <c r="O130" s="41">
        <v>1.0</v>
      </c>
      <c r="P130" s="41">
        <v>1.0</v>
      </c>
      <c r="Q130" s="41">
        <v>1.0</v>
      </c>
      <c r="R130" s="41">
        <v>1.0</v>
      </c>
      <c r="S130" s="41">
        <v>1.0</v>
      </c>
      <c r="T130" s="41">
        <v>1.0</v>
      </c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5.75" customHeight="1">
      <c r="A131" s="50" t="s">
        <v>235</v>
      </c>
      <c r="B131" s="50" t="s">
        <v>291</v>
      </c>
      <c r="C131" s="50">
        <v>47.0</v>
      </c>
      <c r="D131" s="50">
        <v>1.5120525056E10</v>
      </c>
      <c r="E131" s="50">
        <v>2.50007141E8</v>
      </c>
      <c r="F131" s="51" t="s">
        <v>317</v>
      </c>
      <c r="G131" s="41" t="str">
        <f t="shared" si="5"/>
        <v>OK</v>
      </c>
      <c r="H131" s="44">
        <f t="shared" si="6"/>
        <v>8</v>
      </c>
      <c r="I131" s="44">
        <f t="shared" si="7"/>
        <v>239</v>
      </c>
      <c r="J131" s="44">
        <f t="shared" si="8"/>
        <v>0</v>
      </c>
      <c r="K131" s="41"/>
      <c r="L131" s="41">
        <v>0.381</v>
      </c>
      <c r="M131" s="41">
        <v>1.0</v>
      </c>
      <c r="N131" s="41">
        <v>0.9545</v>
      </c>
      <c r="O131" s="41">
        <v>1.0</v>
      </c>
      <c r="P131" s="41">
        <v>0.9048</v>
      </c>
      <c r="Q131" s="41">
        <v>0.8095</v>
      </c>
      <c r="R131" s="41">
        <v>0.9524</v>
      </c>
      <c r="S131" s="41">
        <v>0.9524</v>
      </c>
      <c r="T131" s="41">
        <v>1.0</v>
      </c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5.75" customHeight="1">
      <c r="A132" s="50" t="s">
        <v>235</v>
      </c>
      <c r="B132" s="50" t="s">
        <v>319</v>
      </c>
      <c r="C132" s="50">
        <v>57.0</v>
      </c>
      <c r="D132" s="50">
        <v>1.5120525096E10</v>
      </c>
      <c r="E132" s="50">
        <v>2.50007001E8</v>
      </c>
      <c r="F132" s="51" t="s">
        <v>320</v>
      </c>
      <c r="G132" s="41" t="str">
        <f t="shared" si="5"/>
        <v>OK</v>
      </c>
      <c r="H132" s="44">
        <f t="shared" si="6"/>
        <v>9</v>
      </c>
      <c r="I132" s="44">
        <f t="shared" si="7"/>
        <v>240</v>
      </c>
      <c r="J132" s="44">
        <f t="shared" si="8"/>
        <v>0</v>
      </c>
      <c r="K132" s="41"/>
      <c r="L132" s="41">
        <v>0.8889</v>
      </c>
      <c r="M132" s="41">
        <v>0.8235</v>
      </c>
      <c r="N132" s="41">
        <v>0.9545</v>
      </c>
      <c r="O132" s="41">
        <v>0.9524</v>
      </c>
      <c r="P132" s="41">
        <v>0.9524</v>
      </c>
      <c r="Q132" s="41">
        <v>0.9048</v>
      </c>
      <c r="R132" s="41">
        <v>0.8095</v>
      </c>
      <c r="S132" s="41">
        <v>0.9048</v>
      </c>
      <c r="T132" s="41">
        <v>0.8095</v>
      </c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5.75" customHeight="1">
      <c r="A133" s="50" t="s">
        <v>235</v>
      </c>
      <c r="B133" s="50" t="s">
        <v>319</v>
      </c>
      <c r="C133" s="50">
        <v>58.0</v>
      </c>
      <c r="D133" s="50">
        <v>1.5120525117E10</v>
      </c>
      <c r="E133" s="50">
        <v>2.50007002E8</v>
      </c>
      <c r="F133" s="51" t="s">
        <v>322</v>
      </c>
      <c r="G133" s="41" t="str">
        <f t="shared" si="5"/>
        <v>Pending</v>
      </c>
      <c r="H133" s="44">
        <f t="shared" si="6"/>
        <v>-11</v>
      </c>
      <c r="I133" s="44">
        <f t="shared" si="7"/>
        <v>186</v>
      </c>
      <c r="J133" s="44">
        <f t="shared" si="8"/>
        <v>30</v>
      </c>
      <c r="K133" s="41"/>
      <c r="L133" s="41">
        <v>0.1111</v>
      </c>
      <c r="M133" s="41">
        <v>0.2353</v>
      </c>
      <c r="N133" s="41">
        <v>0.0909</v>
      </c>
      <c r="O133" s="41">
        <v>1.0</v>
      </c>
      <c r="P133" s="41">
        <v>0.9048</v>
      </c>
      <c r="Q133" s="41">
        <v>0.9524</v>
      </c>
      <c r="R133" s="41">
        <v>1.0</v>
      </c>
      <c r="S133" s="41">
        <v>1.0</v>
      </c>
      <c r="T133" s="41">
        <v>0.9048</v>
      </c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5.75" customHeight="1">
      <c r="A134" s="50" t="s">
        <v>235</v>
      </c>
      <c r="B134" s="50" t="s">
        <v>319</v>
      </c>
      <c r="C134" s="50">
        <v>59.0</v>
      </c>
      <c r="D134" s="50">
        <v>1.512052512E10</v>
      </c>
      <c r="E134" s="50">
        <v>2.50007004E8</v>
      </c>
      <c r="F134" s="51" t="s">
        <v>324</v>
      </c>
      <c r="G134" s="41" t="str">
        <f t="shared" si="5"/>
        <v>Pending</v>
      </c>
      <c r="H134" s="44">
        <f t="shared" si="6"/>
        <v>-22</v>
      </c>
      <c r="I134" s="44">
        <f t="shared" si="7"/>
        <v>156</v>
      </c>
      <c r="J134" s="44">
        <f t="shared" si="8"/>
        <v>60</v>
      </c>
      <c r="K134" s="41"/>
      <c r="L134" s="41">
        <v>0.1111</v>
      </c>
      <c r="M134" s="41">
        <v>0.2353</v>
      </c>
      <c r="N134" s="41">
        <v>0.0</v>
      </c>
      <c r="O134" s="41">
        <v>0.9048</v>
      </c>
      <c r="P134" s="41">
        <v>0.9524</v>
      </c>
      <c r="Q134" s="41">
        <v>0.7619</v>
      </c>
      <c r="R134" s="41">
        <v>0.9524</v>
      </c>
      <c r="S134" s="41">
        <v>0.6667</v>
      </c>
      <c r="T134" s="41">
        <v>0.619</v>
      </c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50" t="s">
        <v>235</v>
      </c>
      <c r="B135" s="50" t="s">
        <v>319</v>
      </c>
      <c r="C135" s="50">
        <v>60.0</v>
      </c>
      <c r="D135" s="50">
        <v>1.512052505E10</v>
      </c>
      <c r="E135" s="50">
        <v>2.50007006E8</v>
      </c>
      <c r="F135" s="51" t="s">
        <v>326</v>
      </c>
      <c r="G135" s="41" t="str">
        <f t="shared" si="5"/>
        <v>Pending</v>
      </c>
      <c r="H135" s="44">
        <f t="shared" si="6"/>
        <v>-4</v>
      </c>
      <c r="I135" s="44">
        <f t="shared" si="7"/>
        <v>206</v>
      </c>
      <c r="J135" s="44">
        <f t="shared" si="8"/>
        <v>10</v>
      </c>
      <c r="K135" s="41"/>
      <c r="L135" s="41">
        <v>0.1111</v>
      </c>
      <c r="M135" s="41">
        <v>0.2353</v>
      </c>
      <c r="N135" s="41">
        <v>1.0</v>
      </c>
      <c r="O135" s="41">
        <v>1.0</v>
      </c>
      <c r="P135" s="41">
        <v>1.0</v>
      </c>
      <c r="Q135" s="41">
        <v>0.9524</v>
      </c>
      <c r="R135" s="41">
        <v>1.0</v>
      </c>
      <c r="S135" s="41">
        <v>0.8571</v>
      </c>
      <c r="T135" s="41">
        <v>0.7143</v>
      </c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5.75" customHeight="1">
      <c r="A136" s="50" t="s">
        <v>235</v>
      </c>
      <c r="B136" s="50" t="s">
        <v>319</v>
      </c>
      <c r="C136" s="50">
        <v>61.0</v>
      </c>
      <c r="D136" s="50">
        <v>1.5120525107E10</v>
      </c>
      <c r="E136" s="50">
        <v>2.50007007E8</v>
      </c>
      <c r="F136" s="51" t="s">
        <v>328</v>
      </c>
      <c r="G136" s="41" t="str">
        <f t="shared" si="5"/>
        <v>Pending</v>
      </c>
      <c r="H136" s="44">
        <f t="shared" si="6"/>
        <v>-2</v>
      </c>
      <c r="I136" s="44">
        <f t="shared" si="7"/>
        <v>211</v>
      </c>
      <c r="J136" s="44">
        <f t="shared" si="8"/>
        <v>5</v>
      </c>
      <c r="K136" s="41"/>
      <c r="L136" s="41">
        <v>0.1111</v>
      </c>
      <c r="M136" s="41">
        <v>0.2353</v>
      </c>
      <c r="N136" s="41">
        <v>0.7727</v>
      </c>
      <c r="O136" s="41">
        <v>1.0</v>
      </c>
      <c r="P136" s="41">
        <v>1.0</v>
      </c>
      <c r="Q136" s="41">
        <v>0.9524</v>
      </c>
      <c r="R136" s="41">
        <v>1.0</v>
      </c>
      <c r="S136" s="41">
        <v>1.0</v>
      </c>
      <c r="T136" s="41">
        <v>0.9524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5.75" customHeight="1">
      <c r="A137" s="50" t="s">
        <v>235</v>
      </c>
      <c r="B137" s="50" t="s">
        <v>319</v>
      </c>
      <c r="C137" s="50">
        <v>62.0</v>
      </c>
      <c r="D137" s="50">
        <v>1.5120525153E10</v>
      </c>
      <c r="E137" s="50">
        <v>2.50007015E8</v>
      </c>
      <c r="F137" s="51" t="s">
        <v>329</v>
      </c>
      <c r="G137" s="41" t="str">
        <f t="shared" si="5"/>
        <v>Pending</v>
      </c>
      <c r="H137" s="44">
        <f t="shared" si="6"/>
        <v>-62</v>
      </c>
      <c r="I137" s="44">
        <f t="shared" si="7"/>
        <v>49</v>
      </c>
      <c r="J137" s="44">
        <f t="shared" si="8"/>
        <v>167</v>
      </c>
      <c r="K137" s="41"/>
      <c r="L137" s="41">
        <v>0.5556</v>
      </c>
      <c r="M137" s="41">
        <v>0.7059</v>
      </c>
      <c r="N137" s="41">
        <v>0.1364</v>
      </c>
      <c r="O137" s="41">
        <v>0.0952</v>
      </c>
      <c r="P137" s="41">
        <v>0.0952</v>
      </c>
      <c r="Q137" s="41">
        <v>0.0</v>
      </c>
      <c r="R137" s="41">
        <v>0.0476</v>
      </c>
      <c r="S137" s="41">
        <v>0.0</v>
      </c>
      <c r="T137" s="41">
        <v>0.0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5.75" customHeight="1">
      <c r="A138" s="50" t="s">
        <v>235</v>
      </c>
      <c r="B138" s="50" t="s">
        <v>319</v>
      </c>
      <c r="C138" s="50">
        <v>63.0</v>
      </c>
      <c r="D138" s="50">
        <v>1.512052511E10</v>
      </c>
      <c r="E138" s="50">
        <v>2.50007017E8</v>
      </c>
      <c r="F138" s="51" t="s">
        <v>331</v>
      </c>
      <c r="G138" s="41" t="str">
        <f t="shared" si="5"/>
        <v>Pending</v>
      </c>
      <c r="H138" s="44">
        <f t="shared" si="6"/>
        <v>-22</v>
      </c>
      <c r="I138" s="44">
        <f t="shared" si="7"/>
        <v>158</v>
      </c>
      <c r="J138" s="44">
        <f t="shared" si="8"/>
        <v>58</v>
      </c>
      <c r="K138" s="41"/>
      <c r="L138" s="41">
        <v>0.1111</v>
      </c>
      <c r="M138" s="41">
        <v>0.2353</v>
      </c>
      <c r="N138" s="41">
        <v>0.0</v>
      </c>
      <c r="O138" s="41">
        <v>0.8571</v>
      </c>
      <c r="P138" s="41">
        <v>0.8095</v>
      </c>
      <c r="Q138" s="41">
        <v>0.7619</v>
      </c>
      <c r="R138" s="41">
        <v>0.9048</v>
      </c>
      <c r="S138" s="41">
        <v>0.8571</v>
      </c>
      <c r="T138" s="41">
        <v>0.7143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5.75" customHeight="1">
      <c r="A139" s="50" t="s">
        <v>235</v>
      </c>
      <c r="B139" s="50" t="s">
        <v>319</v>
      </c>
      <c r="C139" s="50">
        <v>64.0</v>
      </c>
      <c r="D139" s="50">
        <v>1.5120525141E10</v>
      </c>
      <c r="E139" s="50">
        <v>2.50007031E8</v>
      </c>
      <c r="F139" s="51" t="s">
        <v>333</v>
      </c>
      <c r="G139" s="41" t="str">
        <f t="shared" si="5"/>
        <v>Pending</v>
      </c>
      <c r="H139" s="44">
        <f t="shared" si="6"/>
        <v>-6</v>
      </c>
      <c r="I139" s="44">
        <f t="shared" si="7"/>
        <v>200</v>
      </c>
      <c r="J139" s="44">
        <f t="shared" si="8"/>
        <v>16</v>
      </c>
      <c r="K139" s="41"/>
      <c r="L139" s="41">
        <v>0.1111</v>
      </c>
      <c r="M139" s="41">
        <v>0.2353</v>
      </c>
      <c r="N139" s="41">
        <v>1.0</v>
      </c>
      <c r="O139" s="41">
        <v>1.0</v>
      </c>
      <c r="P139" s="41">
        <v>0.9524</v>
      </c>
      <c r="Q139" s="41">
        <v>0.9524</v>
      </c>
      <c r="R139" s="41">
        <v>1.0</v>
      </c>
      <c r="S139" s="41">
        <v>0.7619</v>
      </c>
      <c r="T139" s="41">
        <v>0.6667</v>
      </c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5.75" customHeight="1">
      <c r="A140" s="50" t="s">
        <v>235</v>
      </c>
      <c r="B140" s="50" t="s">
        <v>319</v>
      </c>
      <c r="C140" s="50">
        <v>65.0</v>
      </c>
      <c r="D140" s="50">
        <v>1.5120525118E10</v>
      </c>
      <c r="E140" s="50">
        <v>2.50007032E8</v>
      </c>
      <c r="F140" s="51" t="s">
        <v>334</v>
      </c>
      <c r="G140" s="41" t="str">
        <f t="shared" si="5"/>
        <v>Pending</v>
      </c>
      <c r="H140" s="44">
        <f t="shared" si="6"/>
        <v>-14</v>
      </c>
      <c r="I140" s="44">
        <f t="shared" si="7"/>
        <v>177</v>
      </c>
      <c r="J140" s="44">
        <f t="shared" si="8"/>
        <v>39</v>
      </c>
      <c r="K140" s="41"/>
      <c r="L140" s="41">
        <v>0.1111</v>
      </c>
      <c r="M140" s="41">
        <v>0.2353</v>
      </c>
      <c r="N140" s="41">
        <v>0.0909</v>
      </c>
      <c r="O140" s="41">
        <v>0.9048</v>
      </c>
      <c r="P140" s="41">
        <v>0.8571</v>
      </c>
      <c r="Q140" s="41">
        <v>0.9524</v>
      </c>
      <c r="R140" s="41">
        <v>0.9048</v>
      </c>
      <c r="S140" s="41">
        <v>1.0</v>
      </c>
      <c r="T140" s="41">
        <v>0.8571</v>
      </c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5.75" customHeight="1">
      <c r="A141" s="50" t="s">
        <v>235</v>
      </c>
      <c r="B141" s="50" t="s">
        <v>319</v>
      </c>
      <c r="C141" s="50">
        <v>66.0</v>
      </c>
      <c r="D141" s="50">
        <v>1.5120525148E10</v>
      </c>
      <c r="E141" s="50">
        <v>2.50007033E8</v>
      </c>
      <c r="F141" s="51" t="s">
        <v>336</v>
      </c>
      <c r="G141" s="41" t="str">
        <f t="shared" si="5"/>
        <v>Pending</v>
      </c>
      <c r="H141" s="44">
        <f t="shared" si="6"/>
        <v>-44</v>
      </c>
      <c r="I141" s="44">
        <f t="shared" si="7"/>
        <v>96</v>
      </c>
      <c r="J141" s="44">
        <f t="shared" si="8"/>
        <v>120</v>
      </c>
      <c r="K141" s="41"/>
      <c r="L141" s="41">
        <v>0.1111</v>
      </c>
      <c r="M141" s="41">
        <v>0.2353</v>
      </c>
      <c r="N141" s="41">
        <v>0.0</v>
      </c>
      <c r="O141" s="41">
        <v>0.0</v>
      </c>
      <c r="P141" s="41">
        <v>0.0</v>
      </c>
      <c r="Q141" s="41">
        <v>0.4762</v>
      </c>
      <c r="R141" s="41">
        <v>0.4286</v>
      </c>
      <c r="S141" s="41">
        <v>1.0</v>
      </c>
      <c r="T141" s="41">
        <v>0.9524</v>
      </c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5.75" customHeight="1">
      <c r="A142" s="50" t="s">
        <v>235</v>
      </c>
      <c r="B142" s="50" t="s">
        <v>319</v>
      </c>
      <c r="C142" s="50">
        <v>67.0</v>
      </c>
      <c r="D142" s="50">
        <v>1.5120525089E10</v>
      </c>
      <c r="E142" s="50">
        <v>2.50007054E8</v>
      </c>
      <c r="F142" s="51" t="s">
        <v>338</v>
      </c>
      <c r="G142" s="41" t="str">
        <f t="shared" si="5"/>
        <v>Pending</v>
      </c>
      <c r="H142" s="44">
        <f t="shared" si="6"/>
        <v>-21</v>
      </c>
      <c r="I142" s="44">
        <f t="shared" si="7"/>
        <v>159</v>
      </c>
      <c r="J142" s="44">
        <f t="shared" si="8"/>
        <v>57</v>
      </c>
      <c r="K142" s="41"/>
      <c r="L142" s="41">
        <v>0.1111</v>
      </c>
      <c r="M142" s="41">
        <v>0.2353</v>
      </c>
      <c r="N142" s="41">
        <v>0.0</v>
      </c>
      <c r="O142" s="41">
        <v>0.8571</v>
      </c>
      <c r="P142" s="41">
        <v>0.9524</v>
      </c>
      <c r="Q142" s="41">
        <v>0.8095</v>
      </c>
      <c r="R142" s="41">
        <v>0.9048</v>
      </c>
      <c r="S142" s="41">
        <v>0.8571</v>
      </c>
      <c r="T142" s="41">
        <v>0.5714</v>
      </c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5.75" customHeight="1">
      <c r="A143" s="50" t="s">
        <v>235</v>
      </c>
      <c r="B143" s="50" t="s">
        <v>319</v>
      </c>
      <c r="C143" s="50">
        <v>68.0</v>
      </c>
      <c r="D143" s="50">
        <v>1.5120525049E10</v>
      </c>
      <c r="E143" s="50">
        <v>2.50007073E8</v>
      </c>
      <c r="F143" s="51" t="s">
        <v>340</v>
      </c>
      <c r="G143" s="41" t="str">
        <f t="shared" si="5"/>
        <v>Pending</v>
      </c>
      <c r="H143" s="44">
        <f t="shared" si="6"/>
        <v>-6</v>
      </c>
      <c r="I143" s="44">
        <f t="shared" si="7"/>
        <v>200</v>
      </c>
      <c r="J143" s="44">
        <f t="shared" si="8"/>
        <v>16</v>
      </c>
      <c r="K143" s="41"/>
      <c r="L143" s="41">
        <v>0.1111</v>
      </c>
      <c r="M143" s="41">
        <v>0.2353</v>
      </c>
      <c r="N143" s="41">
        <v>1.0</v>
      </c>
      <c r="O143" s="41">
        <v>1.0</v>
      </c>
      <c r="P143" s="41">
        <v>0.8571</v>
      </c>
      <c r="Q143" s="41">
        <v>0.8095</v>
      </c>
      <c r="R143" s="41">
        <v>0.9524</v>
      </c>
      <c r="S143" s="41">
        <v>0.9048</v>
      </c>
      <c r="T143" s="41">
        <v>0.8095</v>
      </c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5.75" customHeight="1">
      <c r="A144" s="50" t="s">
        <v>235</v>
      </c>
      <c r="B144" s="50" t="s">
        <v>319</v>
      </c>
      <c r="C144" s="50">
        <v>69.0</v>
      </c>
      <c r="D144" s="50">
        <v>1.5120525106E10</v>
      </c>
      <c r="E144" s="50">
        <v>2.50007076E8</v>
      </c>
      <c r="F144" s="51" t="s">
        <v>342</v>
      </c>
      <c r="G144" s="41" t="str">
        <f t="shared" si="5"/>
        <v>OK</v>
      </c>
      <c r="H144" s="44">
        <f t="shared" si="6"/>
        <v>0</v>
      </c>
      <c r="I144" s="44">
        <f t="shared" si="7"/>
        <v>215</v>
      </c>
      <c r="J144" s="44">
        <f t="shared" si="8"/>
        <v>1</v>
      </c>
      <c r="K144" s="41"/>
      <c r="L144" s="41">
        <v>0.1111</v>
      </c>
      <c r="M144" s="41">
        <v>0.2353</v>
      </c>
      <c r="N144" s="41">
        <v>0.8182</v>
      </c>
      <c r="O144" s="41">
        <v>1.0</v>
      </c>
      <c r="P144" s="41">
        <v>1.0</v>
      </c>
      <c r="Q144" s="41">
        <v>1.0</v>
      </c>
      <c r="R144" s="41">
        <v>1.0</v>
      </c>
      <c r="S144" s="41">
        <v>1.0</v>
      </c>
      <c r="T144" s="41">
        <v>1.0</v>
      </c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5.75" customHeight="1">
      <c r="A145" s="50" t="s">
        <v>235</v>
      </c>
      <c r="B145" s="50" t="s">
        <v>319</v>
      </c>
      <c r="C145" s="50">
        <v>70.0</v>
      </c>
      <c r="D145" s="50">
        <v>1.5120525082E10</v>
      </c>
      <c r="E145" s="50">
        <v>2.50007078E8</v>
      </c>
      <c r="F145" s="51" t="s">
        <v>344</v>
      </c>
      <c r="G145" s="41" t="str">
        <f t="shared" si="5"/>
        <v>OK</v>
      </c>
      <c r="H145" s="44">
        <f t="shared" si="6"/>
        <v>15</v>
      </c>
      <c r="I145" s="44">
        <f t="shared" si="7"/>
        <v>257</v>
      </c>
      <c r="J145" s="44">
        <f t="shared" si="8"/>
        <v>0</v>
      </c>
      <c r="K145" s="41"/>
      <c r="L145" s="41">
        <v>0.6667</v>
      </c>
      <c r="M145" s="41">
        <v>1.0</v>
      </c>
      <c r="N145" s="41">
        <v>1.0</v>
      </c>
      <c r="O145" s="41">
        <v>1.0</v>
      </c>
      <c r="P145" s="41">
        <v>1.0</v>
      </c>
      <c r="Q145" s="41">
        <v>1.0</v>
      </c>
      <c r="R145" s="41">
        <v>1.0</v>
      </c>
      <c r="S145" s="41">
        <v>1.0</v>
      </c>
      <c r="T145" s="41">
        <v>0.9048</v>
      </c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5.75" customHeight="1">
      <c r="A146" s="50" t="s">
        <v>235</v>
      </c>
      <c r="B146" s="50" t="s">
        <v>319</v>
      </c>
      <c r="C146" s="50">
        <v>71.0</v>
      </c>
      <c r="D146" s="50">
        <v>1.5120525116E10</v>
      </c>
      <c r="E146" s="50">
        <v>2.50007101E8</v>
      </c>
      <c r="F146" s="51" t="s">
        <v>346</v>
      </c>
      <c r="G146" s="41" t="str">
        <f t="shared" si="5"/>
        <v>OK</v>
      </c>
      <c r="H146" s="44">
        <f t="shared" si="6"/>
        <v>13</v>
      </c>
      <c r="I146" s="44">
        <f t="shared" si="7"/>
        <v>251</v>
      </c>
      <c r="J146" s="44">
        <f t="shared" si="8"/>
        <v>0</v>
      </c>
      <c r="K146" s="41"/>
      <c r="L146" s="41">
        <v>0.6071</v>
      </c>
      <c r="M146" s="41">
        <v>1.0</v>
      </c>
      <c r="N146" s="41">
        <v>1.0</v>
      </c>
      <c r="O146" s="41">
        <v>1.0</v>
      </c>
      <c r="P146" s="41">
        <v>1.0</v>
      </c>
      <c r="Q146" s="41">
        <v>1.0</v>
      </c>
      <c r="R146" s="41">
        <v>1.0</v>
      </c>
      <c r="S146" s="41">
        <v>1.0</v>
      </c>
      <c r="T146" s="41">
        <v>0.7619</v>
      </c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5.75" customHeight="1">
      <c r="A147" s="50" t="s">
        <v>235</v>
      </c>
      <c r="B147" s="50" t="s">
        <v>319</v>
      </c>
      <c r="C147" s="50">
        <v>72.0</v>
      </c>
      <c r="D147" s="50">
        <v>1.5120525156E10</v>
      </c>
      <c r="E147" s="50">
        <v>2.50007105E8</v>
      </c>
      <c r="F147" s="51" t="s">
        <v>348</v>
      </c>
      <c r="G147" s="41" t="str">
        <f t="shared" si="5"/>
        <v>OK</v>
      </c>
      <c r="H147" s="44">
        <f t="shared" si="6"/>
        <v>12</v>
      </c>
      <c r="I147" s="44">
        <f t="shared" si="7"/>
        <v>250</v>
      </c>
      <c r="J147" s="44">
        <f t="shared" si="8"/>
        <v>0</v>
      </c>
      <c r="K147" s="41"/>
      <c r="L147" s="41">
        <v>0.6786</v>
      </c>
      <c r="M147" s="41">
        <v>0.8824</v>
      </c>
      <c r="N147" s="41">
        <v>1.0</v>
      </c>
      <c r="O147" s="41">
        <v>1.0</v>
      </c>
      <c r="P147" s="41">
        <v>0.7619</v>
      </c>
      <c r="Q147" s="41">
        <v>1.0</v>
      </c>
      <c r="R147" s="41">
        <v>1.0</v>
      </c>
      <c r="S147" s="41">
        <v>1.0</v>
      </c>
      <c r="T147" s="41">
        <v>1.0</v>
      </c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5.75" customHeight="1">
      <c r="A148" s="50" t="s">
        <v>235</v>
      </c>
      <c r="B148" s="50" t="s">
        <v>319</v>
      </c>
      <c r="C148" s="50">
        <v>73.0</v>
      </c>
      <c r="D148" s="50">
        <v>1.5120525103E10</v>
      </c>
      <c r="E148" s="50">
        <v>2.50007124E8</v>
      </c>
      <c r="F148" s="51" t="s">
        <v>350</v>
      </c>
      <c r="G148" s="41" t="str">
        <f t="shared" si="5"/>
        <v>OK</v>
      </c>
      <c r="H148" s="44">
        <f t="shared" si="6"/>
        <v>7</v>
      </c>
      <c r="I148" s="44">
        <f t="shared" si="7"/>
        <v>235</v>
      </c>
      <c r="J148" s="44">
        <f t="shared" si="8"/>
        <v>0</v>
      </c>
      <c r="K148" s="41"/>
      <c r="L148" s="41">
        <v>0.1429</v>
      </c>
      <c r="M148" s="41">
        <v>0.8235</v>
      </c>
      <c r="N148" s="41">
        <v>1.0</v>
      </c>
      <c r="O148" s="41">
        <v>1.0</v>
      </c>
      <c r="P148" s="41">
        <v>1.0</v>
      </c>
      <c r="Q148" s="41">
        <v>0.9048</v>
      </c>
      <c r="R148" s="41">
        <v>1.0</v>
      </c>
      <c r="S148" s="41">
        <v>1.0</v>
      </c>
      <c r="T148" s="41">
        <v>0.9524</v>
      </c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5.75" customHeight="1">
      <c r="A149" s="50" t="s">
        <v>235</v>
      </c>
      <c r="B149" s="50" t="s">
        <v>319</v>
      </c>
      <c r="C149" s="50">
        <v>74.0</v>
      </c>
      <c r="D149" s="50">
        <v>1.5120525113E10</v>
      </c>
      <c r="E149" s="50">
        <v>2.50007125E8</v>
      </c>
      <c r="F149" s="51" t="s">
        <v>352</v>
      </c>
      <c r="G149" s="41" t="str">
        <f t="shared" si="5"/>
        <v>OK</v>
      </c>
      <c r="H149" s="44">
        <f t="shared" si="6"/>
        <v>0</v>
      </c>
      <c r="I149" s="44">
        <f t="shared" si="7"/>
        <v>217</v>
      </c>
      <c r="J149" s="44">
        <f t="shared" si="8"/>
        <v>0</v>
      </c>
      <c r="K149" s="41"/>
      <c r="L149" s="41">
        <v>0.0357</v>
      </c>
      <c r="M149" s="41">
        <v>0.4118</v>
      </c>
      <c r="N149" s="41">
        <v>0.7727</v>
      </c>
      <c r="O149" s="41">
        <v>1.0</v>
      </c>
      <c r="P149" s="41">
        <v>1.0</v>
      </c>
      <c r="Q149" s="41">
        <v>1.0</v>
      </c>
      <c r="R149" s="41">
        <v>1.0</v>
      </c>
      <c r="S149" s="41">
        <v>1.0</v>
      </c>
      <c r="T149" s="41">
        <v>1.0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5.75" customHeight="1">
      <c r="A150" s="50" t="s">
        <v>235</v>
      </c>
      <c r="B150" s="50" t="s">
        <v>319</v>
      </c>
      <c r="C150" s="50">
        <v>75.0</v>
      </c>
      <c r="D150" s="50">
        <v>1.5120525058E10</v>
      </c>
      <c r="E150" s="50">
        <v>2.50007084E8</v>
      </c>
      <c r="F150" s="51" t="s">
        <v>354</v>
      </c>
      <c r="G150" s="41" t="str">
        <f t="shared" si="5"/>
        <v>Pending</v>
      </c>
      <c r="H150" s="44">
        <f t="shared" si="6"/>
        <v>-2</v>
      </c>
      <c r="I150" s="44">
        <f t="shared" si="7"/>
        <v>210</v>
      </c>
      <c r="J150" s="44">
        <f t="shared" si="8"/>
        <v>6</v>
      </c>
      <c r="K150" s="41"/>
      <c r="L150" s="41">
        <v>0.0</v>
      </c>
      <c r="M150" s="41">
        <v>0.0</v>
      </c>
      <c r="N150" s="41">
        <v>1.0</v>
      </c>
      <c r="O150" s="41">
        <v>1.0</v>
      </c>
      <c r="P150" s="41">
        <v>1.0</v>
      </c>
      <c r="Q150" s="41">
        <v>1.0</v>
      </c>
      <c r="R150" s="41">
        <v>1.0</v>
      </c>
      <c r="S150" s="41">
        <v>1.0</v>
      </c>
      <c r="T150" s="41">
        <v>1.0</v>
      </c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50" t="s">
        <v>235</v>
      </c>
      <c r="B151" s="50" t="s">
        <v>291</v>
      </c>
      <c r="C151" s="50">
        <v>76.0</v>
      </c>
      <c r="D151" s="50">
        <v>1.5120526062E10</v>
      </c>
      <c r="E151" s="52"/>
      <c r="F151" s="51" t="s">
        <v>356</v>
      </c>
      <c r="G151" s="41" t="str">
        <f t="shared" si="5"/>
        <v>Pending</v>
      </c>
      <c r="H151" s="44">
        <f t="shared" si="6"/>
        <v>-41</v>
      </c>
      <c r="I151" s="44">
        <f t="shared" si="7"/>
        <v>105</v>
      </c>
      <c r="J151" s="44">
        <f t="shared" si="8"/>
        <v>111</v>
      </c>
      <c r="K151" s="38"/>
      <c r="L151" s="41">
        <v>0.0</v>
      </c>
      <c r="M151" s="41">
        <v>0.0</v>
      </c>
      <c r="N151" s="41">
        <v>0.5</v>
      </c>
      <c r="O151" s="41">
        <v>0.4762</v>
      </c>
      <c r="P151" s="41">
        <v>0.7143</v>
      </c>
      <c r="Q151" s="41">
        <v>0.5714</v>
      </c>
      <c r="R151" s="41">
        <v>0.8095</v>
      </c>
      <c r="S151" s="41">
        <v>0.2857</v>
      </c>
      <c r="T151" s="41">
        <v>0.1429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5.75" customHeight="1">
      <c r="A152" s="28" t="s">
        <v>6</v>
      </c>
      <c r="B152" s="28" t="s">
        <v>7</v>
      </c>
      <c r="C152" s="28" t="s">
        <v>8</v>
      </c>
      <c r="D152" s="28" t="s">
        <v>9</v>
      </c>
      <c r="E152" s="28" t="s">
        <v>10</v>
      </c>
      <c r="F152" s="28"/>
      <c r="G152" s="41"/>
      <c r="H152" s="44"/>
      <c r="I152" s="44"/>
      <c r="J152" s="44"/>
      <c r="K152" s="38"/>
      <c r="L152" s="38"/>
      <c r="M152" s="38"/>
      <c r="N152" s="38"/>
      <c r="O152" s="38"/>
      <c r="P152" s="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5.75" customHeight="1">
      <c r="A153" s="35" t="s">
        <v>358</v>
      </c>
      <c r="B153" s="35" t="s">
        <v>359</v>
      </c>
      <c r="C153" s="35">
        <v>1.0</v>
      </c>
      <c r="D153" s="35">
        <v>1.5120526101E10</v>
      </c>
      <c r="E153" s="38"/>
      <c r="F153" s="39" t="s">
        <v>360</v>
      </c>
      <c r="G153" s="41" t="str">
        <f t="shared" ref="G153:G163" si="9">IF(H153&gt;=0,"OK",IF(K153&gt;=J153,"Completed","Pending"))</f>
        <v>Pending</v>
      </c>
      <c r="H153" s="44">
        <f t="shared" ref="H153:H163" si="10">round((((((L153*100)*$L$5)+((M153*100)*$M$5)+((N153*100)*$N$5)+((O153*100)*$O$5)+((P153*100)*$P$5)+((Q153*100)*$Q$5)+((R153*100)*$R$5)+((S153*100)*$S$5)+((T153*100)*$T$5)+((U153*100)*$U$5)+((V153*100)*$V$5)+((W153*100)*$W$5)+((X153*100)*$X$5)+((Y153*100)*$Y$5)+((Z153*100)*$Z$5)++((W153*100)*$W$5)+((AA153*100)*$AA$5))/($L$5+$M$5+$N$5+$O$5+$P$5+$Q$5+$R$5+$S$5+$T$5+$V$5+$U$5+$W$5+$X$5+$Y$5+$Z$5+$AA$5))-80),0)</f>
        <v>-39</v>
      </c>
      <c r="I153" s="44">
        <f t="shared" ref="I153:I163" si="11">round(30*((L153*$L$5)+(M153*$M$5)+(N153*$N$5)+(O153*$O$5)+(P153*$P$5)+(Q153*$Q$5)+(R153*$R$5)+(S153*$S$5)+(T153*$T$5)+(U153*$U$5)+(V153*$V$5)+(W153*$W$5)+(X153*$X$5)+(Y153*$Y$5)+(Z153*$Z$5)+(AA153*$AA$5)),0)</f>
        <v>110</v>
      </c>
      <c r="J153" s="44">
        <f t="shared" ref="J153:J163" si="12">if(I153&lt;(24*($L$5+$M$5+$N$5+$O$5+$P$5+$Q$5+$R$5+$S$5+$T$5+$V$5+$U$5+$W$5+$X$5+$Y$5+$Z$5+$AA$5)),abs(I153-(24*($L$5+$M$5+$N$5+$O$5+$P$5+$Q$5+$R$5+$S$5+$T$5+$V$5+$U$5+$W$5+$X$5+$Y$5+$Z$5+$AA$5))),0)</f>
        <v>106</v>
      </c>
      <c r="K153" s="38"/>
      <c r="L153" s="38"/>
      <c r="M153" s="38"/>
      <c r="N153" s="38"/>
      <c r="O153" s="38"/>
      <c r="P153" s="38"/>
      <c r="Q153" s="41">
        <v>0.7273</v>
      </c>
      <c r="R153" s="41">
        <v>0.9524</v>
      </c>
      <c r="S153" s="41">
        <v>1.0</v>
      </c>
      <c r="T153" s="41">
        <v>1.0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5.75" customHeight="1">
      <c r="A154" s="35" t="s">
        <v>358</v>
      </c>
      <c r="B154" s="35" t="s">
        <v>359</v>
      </c>
      <c r="C154" s="35">
        <v>2.0</v>
      </c>
      <c r="D154" s="35">
        <v>1.5120526102E10</v>
      </c>
      <c r="E154" s="38"/>
      <c r="F154" s="39" t="s">
        <v>368</v>
      </c>
      <c r="G154" s="41" t="str">
        <f t="shared" si="9"/>
        <v>Pending</v>
      </c>
      <c r="H154" s="44">
        <f t="shared" si="10"/>
        <v>-43</v>
      </c>
      <c r="I154" s="44">
        <f t="shared" si="11"/>
        <v>101</v>
      </c>
      <c r="J154" s="44">
        <f t="shared" si="12"/>
        <v>115</v>
      </c>
      <c r="K154" s="38"/>
      <c r="L154" s="38"/>
      <c r="M154" s="38"/>
      <c r="N154" s="38"/>
      <c r="O154" s="38"/>
      <c r="P154" s="38"/>
      <c r="Q154" s="41">
        <v>0.6364</v>
      </c>
      <c r="R154" s="41">
        <v>0.9048</v>
      </c>
      <c r="S154" s="41">
        <v>1.0</v>
      </c>
      <c r="T154" s="41">
        <v>0.8095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5.75" customHeight="1">
      <c r="A155" s="35" t="s">
        <v>358</v>
      </c>
      <c r="B155" s="35" t="s">
        <v>359</v>
      </c>
      <c r="C155" s="35">
        <v>3.0</v>
      </c>
      <c r="D155" s="35">
        <v>1.5120526105E10</v>
      </c>
      <c r="E155" s="38"/>
      <c r="F155" s="39" t="s">
        <v>369</v>
      </c>
      <c r="G155" s="41" t="str">
        <f t="shared" si="9"/>
        <v>Pending</v>
      </c>
      <c r="H155" s="44">
        <f t="shared" si="10"/>
        <v>-46</v>
      </c>
      <c r="I155" s="44">
        <f t="shared" si="11"/>
        <v>93</v>
      </c>
      <c r="J155" s="44">
        <f t="shared" si="12"/>
        <v>123</v>
      </c>
      <c r="K155" s="38"/>
      <c r="L155" s="38"/>
      <c r="M155" s="38"/>
      <c r="N155" s="38"/>
      <c r="O155" s="38"/>
      <c r="P155" s="38"/>
      <c r="Q155" s="41">
        <v>0.0909</v>
      </c>
      <c r="R155" s="41">
        <v>1.0</v>
      </c>
      <c r="S155" s="41">
        <v>1.0</v>
      </c>
      <c r="T155" s="41">
        <v>1.0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5.75" customHeight="1">
      <c r="A156" s="35" t="s">
        <v>358</v>
      </c>
      <c r="B156" s="35" t="s">
        <v>359</v>
      </c>
      <c r="C156" s="35">
        <v>4.0</v>
      </c>
      <c r="D156" s="35">
        <v>1.512052611E10</v>
      </c>
      <c r="E156" s="38"/>
      <c r="F156" s="39" t="s">
        <v>371</v>
      </c>
      <c r="G156" s="41" t="str">
        <f t="shared" si="9"/>
        <v>Pending</v>
      </c>
      <c r="H156" s="44">
        <f t="shared" si="10"/>
        <v>-47</v>
      </c>
      <c r="I156" s="44">
        <f t="shared" si="11"/>
        <v>90</v>
      </c>
      <c r="J156" s="44">
        <f t="shared" si="12"/>
        <v>126</v>
      </c>
      <c r="K156" s="38"/>
      <c r="L156" s="38"/>
      <c r="M156" s="38"/>
      <c r="N156" s="38"/>
      <c r="O156" s="38"/>
      <c r="P156" s="38"/>
      <c r="Q156" s="41">
        <v>0.0</v>
      </c>
      <c r="R156" s="41">
        <v>1.0</v>
      </c>
      <c r="S156" s="41">
        <v>1.0</v>
      </c>
      <c r="T156" s="41">
        <v>1.0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5.75" customHeight="1">
      <c r="A157" s="35" t="s">
        <v>358</v>
      </c>
      <c r="B157" s="35" t="s">
        <v>359</v>
      </c>
      <c r="C157" s="35">
        <v>5.0</v>
      </c>
      <c r="D157" s="35">
        <v>1.5120526111E10</v>
      </c>
      <c r="E157" s="38"/>
      <c r="F157" s="39" t="s">
        <v>373</v>
      </c>
      <c r="G157" s="41" t="str">
        <f t="shared" si="9"/>
        <v>Pending</v>
      </c>
      <c r="H157" s="44">
        <f t="shared" si="10"/>
        <v>-47</v>
      </c>
      <c r="I157" s="44">
        <f t="shared" si="11"/>
        <v>90</v>
      </c>
      <c r="J157" s="44">
        <f t="shared" si="12"/>
        <v>126</v>
      </c>
      <c r="K157" s="38"/>
      <c r="L157" s="38"/>
      <c r="M157" s="38"/>
      <c r="N157" s="38"/>
      <c r="O157" s="38"/>
      <c r="P157" s="38"/>
      <c r="Q157" s="41">
        <v>0.0</v>
      </c>
      <c r="R157" s="41">
        <v>1.0</v>
      </c>
      <c r="S157" s="41">
        <v>1.0</v>
      </c>
      <c r="T157" s="41">
        <v>1.0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5.75" customHeight="1">
      <c r="A158" s="35" t="s">
        <v>358</v>
      </c>
      <c r="B158" s="35" t="s">
        <v>359</v>
      </c>
      <c r="C158" s="35">
        <v>6.0</v>
      </c>
      <c r="D158" s="35">
        <v>1.5120526116E10</v>
      </c>
      <c r="E158" s="38"/>
      <c r="F158" s="39" t="s">
        <v>375</v>
      </c>
      <c r="G158" s="41" t="str">
        <f t="shared" si="9"/>
        <v>Pending</v>
      </c>
      <c r="H158" s="44">
        <f t="shared" si="10"/>
        <v>-38</v>
      </c>
      <c r="I158" s="44">
        <f t="shared" si="11"/>
        <v>115</v>
      </c>
      <c r="J158" s="44">
        <f t="shared" si="12"/>
        <v>101</v>
      </c>
      <c r="K158" s="38"/>
      <c r="L158" s="38"/>
      <c r="M158" s="38"/>
      <c r="N158" s="38"/>
      <c r="O158" s="38"/>
      <c r="P158" s="38"/>
      <c r="Q158" s="41">
        <v>0.8182</v>
      </c>
      <c r="R158" s="41">
        <v>1.0</v>
      </c>
      <c r="S158" s="41">
        <v>1.0</v>
      </c>
      <c r="T158" s="41">
        <v>1.0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5.75" customHeight="1">
      <c r="A159" s="35" t="s">
        <v>358</v>
      </c>
      <c r="B159" s="35" t="s">
        <v>359</v>
      </c>
      <c r="C159" s="59">
        <v>7.0</v>
      </c>
      <c r="D159" s="35">
        <v>1.5120526118E10</v>
      </c>
      <c r="E159" s="38"/>
      <c r="F159" s="39" t="s">
        <v>377</v>
      </c>
      <c r="G159" s="41" t="str">
        <f t="shared" si="9"/>
        <v>Pending</v>
      </c>
      <c r="H159" s="44">
        <f t="shared" si="10"/>
        <v>-54</v>
      </c>
      <c r="I159" s="44">
        <f t="shared" si="11"/>
        <v>69</v>
      </c>
      <c r="J159" s="44">
        <f t="shared" si="12"/>
        <v>147</v>
      </c>
      <c r="K159" s="38"/>
      <c r="L159" s="38"/>
      <c r="M159" s="38"/>
      <c r="N159" s="38"/>
      <c r="O159" s="38"/>
      <c r="P159" s="38"/>
      <c r="Q159" s="41">
        <v>0.5</v>
      </c>
      <c r="R159" s="41">
        <v>1.0</v>
      </c>
      <c r="S159" s="41">
        <v>0.8095</v>
      </c>
      <c r="T159" s="41">
        <v>0.0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customHeight="1">
      <c r="A160" s="35" t="s">
        <v>358</v>
      </c>
      <c r="B160" s="35" t="s">
        <v>359</v>
      </c>
      <c r="C160" s="35">
        <v>8.0</v>
      </c>
      <c r="D160" s="35">
        <v>1.5120526119E10</v>
      </c>
      <c r="E160" s="38"/>
      <c r="F160" s="39" t="s">
        <v>379</v>
      </c>
      <c r="G160" s="41" t="str">
        <f t="shared" si="9"/>
        <v>Pending</v>
      </c>
      <c r="H160" s="44">
        <f t="shared" si="10"/>
        <v>-36</v>
      </c>
      <c r="I160" s="44">
        <f t="shared" si="11"/>
        <v>120</v>
      </c>
      <c r="J160" s="44">
        <f t="shared" si="12"/>
        <v>96</v>
      </c>
      <c r="K160" s="38"/>
      <c r="L160" s="38"/>
      <c r="M160" s="38"/>
      <c r="N160" s="38"/>
      <c r="O160" s="38"/>
      <c r="P160" s="38"/>
      <c r="Q160" s="41">
        <v>1.0</v>
      </c>
      <c r="R160" s="41">
        <v>1.0</v>
      </c>
      <c r="S160" s="41">
        <v>1.0</v>
      </c>
      <c r="T160" s="41">
        <v>1.0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customHeight="1">
      <c r="A161" s="35" t="s">
        <v>358</v>
      </c>
      <c r="B161" s="35" t="s">
        <v>359</v>
      </c>
      <c r="C161" s="35">
        <v>9.0</v>
      </c>
      <c r="D161" s="35">
        <v>1.512052612E10</v>
      </c>
      <c r="E161" s="38"/>
      <c r="F161" s="39" t="s">
        <v>381</v>
      </c>
      <c r="G161" s="41" t="str">
        <f t="shared" si="9"/>
        <v>Pending</v>
      </c>
      <c r="H161" s="44">
        <f t="shared" si="10"/>
        <v>-47</v>
      </c>
      <c r="I161" s="44">
        <f t="shared" si="11"/>
        <v>90</v>
      </c>
      <c r="J161" s="44">
        <f t="shared" si="12"/>
        <v>126</v>
      </c>
      <c r="K161" s="38"/>
      <c r="L161" s="38"/>
      <c r="M161" s="38"/>
      <c r="N161" s="38"/>
      <c r="O161" s="38"/>
      <c r="P161" s="38"/>
      <c r="Q161" s="41">
        <v>0.0</v>
      </c>
      <c r="R161" s="41">
        <v>1.0</v>
      </c>
      <c r="S161" s="41">
        <v>1.0</v>
      </c>
      <c r="T161" s="41">
        <v>1.0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customHeight="1">
      <c r="A162" s="35" t="s">
        <v>358</v>
      </c>
      <c r="B162" s="35" t="s">
        <v>359</v>
      </c>
      <c r="C162" s="35">
        <v>10.0</v>
      </c>
      <c r="D162" s="35">
        <v>1.5120526122E10</v>
      </c>
      <c r="E162" s="38"/>
      <c r="F162" s="39" t="s">
        <v>383</v>
      </c>
      <c r="G162" s="41" t="str">
        <f t="shared" si="9"/>
        <v>Pending</v>
      </c>
      <c r="H162" s="44">
        <f t="shared" si="10"/>
        <v>-48</v>
      </c>
      <c r="I162" s="44">
        <f t="shared" si="11"/>
        <v>86</v>
      </c>
      <c r="J162" s="44">
        <f t="shared" si="12"/>
        <v>130</v>
      </c>
      <c r="K162" s="38"/>
      <c r="L162" s="38"/>
      <c r="M162" s="38"/>
      <c r="N162" s="38"/>
      <c r="O162" s="38"/>
      <c r="P162" s="38"/>
      <c r="Q162" s="41">
        <v>0.0</v>
      </c>
      <c r="R162" s="41">
        <v>0.8571</v>
      </c>
      <c r="S162" s="41">
        <v>1.0</v>
      </c>
      <c r="T162" s="41">
        <v>1.0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8.75" customHeight="1">
      <c r="A163" s="60"/>
      <c r="B163" s="61"/>
      <c r="C163" s="61"/>
      <c r="D163" s="61"/>
      <c r="E163" s="61"/>
      <c r="F163" s="61">
        <f>COUNTA(F7:F162)</f>
        <v>154</v>
      </c>
      <c r="G163" s="41" t="str">
        <f t="shared" si="9"/>
        <v>Pending</v>
      </c>
      <c r="H163" s="44">
        <f t="shared" si="10"/>
        <v>-9</v>
      </c>
      <c r="I163" s="44">
        <f t="shared" si="11"/>
        <v>192</v>
      </c>
      <c r="J163" s="44">
        <f t="shared" si="12"/>
        <v>24</v>
      </c>
      <c r="K163" s="38"/>
      <c r="L163" s="62">
        <f t="shared" ref="L163:Z163" si="13">SUM(L7:L162)/$F$163</f>
        <v>0.5305357143</v>
      </c>
      <c r="M163" s="62">
        <f t="shared" si="13"/>
        <v>0.5749584416</v>
      </c>
      <c r="N163" s="62">
        <f t="shared" si="13"/>
        <v>0.6517097403</v>
      </c>
      <c r="O163" s="62">
        <f t="shared" si="13"/>
        <v>0.7093045455</v>
      </c>
      <c r="P163" s="62">
        <f t="shared" si="13"/>
        <v>0.749224026</v>
      </c>
      <c r="Q163" s="62">
        <f t="shared" si="13"/>
        <v>0.7551753247</v>
      </c>
      <c r="R163" s="62">
        <f t="shared" si="13"/>
        <v>0.8290077922</v>
      </c>
      <c r="S163" s="62">
        <f t="shared" si="13"/>
        <v>0.7931344156</v>
      </c>
      <c r="T163" s="62">
        <f t="shared" si="13"/>
        <v>0.7970974026</v>
      </c>
      <c r="U163" s="62">
        <f t="shared" si="13"/>
        <v>0</v>
      </c>
      <c r="V163" s="62">
        <f t="shared" si="13"/>
        <v>0</v>
      </c>
      <c r="W163" s="62">
        <f t="shared" si="13"/>
        <v>0</v>
      </c>
      <c r="X163" s="62">
        <f t="shared" si="13"/>
        <v>0</v>
      </c>
      <c r="Y163" s="62">
        <f t="shared" si="13"/>
        <v>0</v>
      </c>
      <c r="Z163" s="62">
        <f t="shared" si="13"/>
        <v>0</v>
      </c>
      <c r="AA163" s="9"/>
      <c r="AB163" s="9"/>
      <c r="AC163" s="9"/>
      <c r="AD163" s="9"/>
      <c r="AE163" s="9"/>
    </row>
    <row r="164" ht="18.75" customHeight="1">
      <c r="A164" s="64" t="s">
        <v>387</v>
      </c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6"/>
      <c r="M164" s="66"/>
      <c r="N164" s="66"/>
      <c r="O164" s="66"/>
      <c r="P164" s="66"/>
      <c r="Q164" s="66"/>
      <c r="R164" s="66"/>
      <c r="S164" s="67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customHeight="1">
      <c r="A165" s="68" t="s">
        <v>6</v>
      </c>
      <c r="B165" s="68" t="s">
        <v>7</v>
      </c>
      <c r="C165" s="68" t="s">
        <v>8</v>
      </c>
      <c r="D165" s="68" t="s">
        <v>9</v>
      </c>
      <c r="E165" s="68" t="s">
        <v>10</v>
      </c>
      <c r="F165" s="68" t="s">
        <v>11</v>
      </c>
      <c r="G165" s="41"/>
      <c r="H165" s="44"/>
      <c r="I165" s="44"/>
      <c r="J165" s="44"/>
      <c r="K165" s="69"/>
      <c r="L165" s="69"/>
      <c r="M165" s="69"/>
      <c r="N165" s="69"/>
      <c r="O165" s="69"/>
      <c r="P165" s="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customHeight="1">
      <c r="A166" s="35" t="s">
        <v>235</v>
      </c>
      <c r="B166" s="35" t="s">
        <v>236</v>
      </c>
      <c r="C166" s="35">
        <v>1.0</v>
      </c>
      <c r="D166" s="35">
        <v>1.5120524027E10</v>
      </c>
      <c r="E166" s="35">
        <v>2.40007001E8</v>
      </c>
      <c r="F166" s="39" t="s">
        <v>390</v>
      </c>
      <c r="G166" s="41" t="str">
        <f t="shared" ref="G166:G221" si="14">IF(H166&gt;=0,"OK",IF(K166&gt;=J166,"Completed","Pending"))</f>
        <v>OK</v>
      </c>
      <c r="H166" s="44">
        <f t="shared" ref="H166:H221" si="15">round((((((L166*100)*$L$5)+((M166*100)*$M$5)+((N166*100)*$N$5)+((O166*100)*$O$5)+((P166*100)*$P$5)+((Q166*100)*$Q$5)+((R166*100)*$R$5)+((S166*100)*$S$5)+((T166*100)*$T$5)+((U166*100)*$U$5)+((V166*100)*$V$5)+((W166*100)*$W$5)+((X166*100)*$X$5)+((Y166*100)*$Y$5)+((Z166*100)*$Z$5)++((W166*100)*$W$5)+((AA166*100)*$AA$5))/($L$5+$M$5+$N$5+$O$5+$P$5+$Q$5+$R$5+$S$5+$T$5+$V$5+$U$5+$W$5+$X$5+$Y$5+$Z$5+$AA$5))-80),0)</f>
        <v>15</v>
      </c>
      <c r="I166" s="44">
        <f t="shared" ref="I166:I221" si="16">round(30*((L166*$L$5)+(M166*$M$5)+(N166*$N$5)+(O166*$O$5)+(P166*$P$5)+(Q166*$Q$5)+(R166*$R$5)+(S166*$S$5)+(T166*$T$5)+(U166*$U$5)+(V166*$V$5)+(W166*$W$5)+(X166*$X$5)+(Y166*$Y$5)+(Z166*$Z$5)+(AA166*$AA$5)),0)</f>
        <v>258</v>
      </c>
      <c r="J166" s="44">
        <f t="shared" ref="J166:J221" si="17">if(I166&lt;(24*($L$5+$M$5+$N$5+$O$5+$P$5+$Q$5+$R$5+$S$5+$T$5+$V$5+$U$5+$W$5+$X$5+$Y$5+$Z$5+$AA$5)),abs(I166-(24*($L$5+$M$5+$N$5+$O$5+$P$5+$Q$5+$R$5+$S$5+$T$5+$V$5+$U$5+$W$5+$X$5+$Y$5+$Z$5+$AA$5))),0)</f>
        <v>0</v>
      </c>
      <c r="K166" s="41"/>
      <c r="L166" s="41">
        <v>1.0</v>
      </c>
      <c r="M166" s="41">
        <v>1.0</v>
      </c>
      <c r="N166" s="41">
        <v>0.8182</v>
      </c>
      <c r="O166" s="41">
        <v>1.0</v>
      </c>
      <c r="P166" s="41">
        <v>1.0</v>
      </c>
      <c r="Q166" s="41">
        <v>0.9524</v>
      </c>
      <c r="R166" s="41">
        <v>1.0</v>
      </c>
      <c r="S166" s="41">
        <v>0.8182</v>
      </c>
      <c r="T166" s="41">
        <v>1.0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customHeight="1">
      <c r="A167" s="35" t="s">
        <v>235</v>
      </c>
      <c r="B167" s="35" t="s">
        <v>236</v>
      </c>
      <c r="C167" s="35">
        <v>2.0</v>
      </c>
      <c r="D167" s="35">
        <v>1.5120524066E10</v>
      </c>
      <c r="E167" s="35">
        <v>2.40007002E8</v>
      </c>
      <c r="F167" s="39" t="s">
        <v>395</v>
      </c>
      <c r="G167" s="41" t="str">
        <f t="shared" si="14"/>
        <v>OK</v>
      </c>
      <c r="H167" s="44">
        <f t="shared" si="15"/>
        <v>15</v>
      </c>
      <c r="I167" s="44">
        <f t="shared" si="16"/>
        <v>256</v>
      </c>
      <c r="J167" s="44">
        <f t="shared" si="17"/>
        <v>0</v>
      </c>
      <c r="K167" s="41"/>
      <c r="L167" s="41">
        <v>1.0</v>
      </c>
      <c r="M167" s="41">
        <v>1.0</v>
      </c>
      <c r="N167" s="41">
        <v>0.9091</v>
      </c>
      <c r="O167" s="41">
        <v>1.0</v>
      </c>
      <c r="P167" s="41">
        <v>1.0</v>
      </c>
      <c r="Q167" s="41">
        <v>0.9524</v>
      </c>
      <c r="R167" s="41">
        <v>0.9091</v>
      </c>
      <c r="S167" s="41">
        <v>0.7727</v>
      </c>
      <c r="T167" s="41">
        <v>1.0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customHeight="1">
      <c r="A168" s="35" t="s">
        <v>235</v>
      </c>
      <c r="B168" s="35" t="s">
        <v>236</v>
      </c>
      <c r="C168" s="35">
        <v>3.0</v>
      </c>
      <c r="D168" s="35">
        <v>1.5120524013E10</v>
      </c>
      <c r="E168" s="35">
        <v>2.40007003E8</v>
      </c>
      <c r="F168" s="39" t="s">
        <v>396</v>
      </c>
      <c r="G168" s="41" t="str">
        <f t="shared" si="14"/>
        <v>OK</v>
      </c>
      <c r="H168" s="44">
        <f t="shared" si="15"/>
        <v>16</v>
      </c>
      <c r="I168" s="44">
        <f t="shared" si="16"/>
        <v>259</v>
      </c>
      <c r="J168" s="44">
        <f t="shared" si="17"/>
        <v>0</v>
      </c>
      <c r="K168" s="41"/>
      <c r="L168" s="41">
        <v>1.0</v>
      </c>
      <c r="M168" s="41">
        <v>1.0</v>
      </c>
      <c r="N168" s="41">
        <v>0.9091</v>
      </c>
      <c r="O168" s="41">
        <v>0.9091</v>
      </c>
      <c r="P168" s="41">
        <v>1.0</v>
      </c>
      <c r="Q168" s="41">
        <v>0.9048</v>
      </c>
      <c r="R168" s="41">
        <v>1.0</v>
      </c>
      <c r="S168" s="41">
        <v>0.9545</v>
      </c>
      <c r="T168" s="41">
        <v>0.9565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customHeight="1">
      <c r="A169" s="35" t="s">
        <v>235</v>
      </c>
      <c r="B169" s="35" t="s">
        <v>236</v>
      </c>
      <c r="C169" s="35">
        <v>4.0</v>
      </c>
      <c r="D169" s="35">
        <v>1.5120524007E10</v>
      </c>
      <c r="E169" s="35">
        <v>2.40007004E8</v>
      </c>
      <c r="F169" s="39" t="s">
        <v>398</v>
      </c>
      <c r="G169" s="41" t="str">
        <f t="shared" si="14"/>
        <v>OK</v>
      </c>
      <c r="H169" s="44">
        <f t="shared" si="15"/>
        <v>19</v>
      </c>
      <c r="I169" s="44">
        <f t="shared" si="16"/>
        <v>267</v>
      </c>
      <c r="J169" s="44">
        <f t="shared" si="17"/>
        <v>0</v>
      </c>
      <c r="K169" s="41"/>
      <c r="L169" s="41">
        <v>1.0</v>
      </c>
      <c r="M169" s="41">
        <v>1.0</v>
      </c>
      <c r="N169" s="41">
        <v>1.0</v>
      </c>
      <c r="O169" s="41">
        <v>1.0</v>
      </c>
      <c r="P169" s="41">
        <v>1.0</v>
      </c>
      <c r="Q169" s="41">
        <v>1.0</v>
      </c>
      <c r="R169" s="41">
        <v>1.0</v>
      </c>
      <c r="S169" s="41">
        <v>0.9091</v>
      </c>
      <c r="T169" s="41">
        <v>1.0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customHeight="1">
      <c r="A170" s="35" t="s">
        <v>235</v>
      </c>
      <c r="B170" s="35" t="s">
        <v>236</v>
      </c>
      <c r="C170" s="35">
        <v>5.0</v>
      </c>
      <c r="D170" s="35">
        <v>1.5120524025E10</v>
      </c>
      <c r="E170" s="35">
        <v>2.40007005E8</v>
      </c>
      <c r="F170" s="39" t="s">
        <v>400</v>
      </c>
      <c r="G170" s="41" t="str">
        <f t="shared" si="14"/>
        <v>OK</v>
      </c>
      <c r="H170" s="44">
        <f t="shared" si="15"/>
        <v>9</v>
      </c>
      <c r="I170" s="44">
        <f t="shared" si="16"/>
        <v>241</v>
      </c>
      <c r="J170" s="44">
        <f t="shared" si="17"/>
        <v>0</v>
      </c>
      <c r="K170" s="41"/>
      <c r="L170" s="41">
        <v>0.0455</v>
      </c>
      <c r="M170" s="41">
        <v>1.0</v>
      </c>
      <c r="N170" s="41">
        <v>1.0</v>
      </c>
      <c r="O170" s="41">
        <v>1.0</v>
      </c>
      <c r="P170" s="41">
        <v>1.0</v>
      </c>
      <c r="Q170" s="41">
        <v>1.0</v>
      </c>
      <c r="R170" s="41">
        <v>1.0</v>
      </c>
      <c r="S170" s="41">
        <v>1.0</v>
      </c>
      <c r="T170" s="41">
        <v>1.0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customHeight="1">
      <c r="A171" s="35" t="s">
        <v>235</v>
      </c>
      <c r="B171" s="35" t="s">
        <v>236</v>
      </c>
      <c r="C171" s="35">
        <v>6.0</v>
      </c>
      <c r="D171" s="35">
        <v>1.5120524011E10</v>
      </c>
      <c r="E171" s="35">
        <v>2.40007006E8</v>
      </c>
      <c r="F171" s="39" t="s">
        <v>402</v>
      </c>
      <c r="G171" s="41" t="str">
        <f t="shared" si="14"/>
        <v>Pending</v>
      </c>
      <c r="H171" s="44">
        <f t="shared" si="15"/>
        <v>-48</v>
      </c>
      <c r="I171" s="44">
        <f t="shared" si="16"/>
        <v>87</v>
      </c>
      <c r="J171" s="44">
        <f t="shared" si="17"/>
        <v>129</v>
      </c>
      <c r="K171" s="41"/>
      <c r="L171" s="41">
        <v>0.5455</v>
      </c>
      <c r="M171" s="41">
        <v>0.3889</v>
      </c>
      <c r="N171" s="41">
        <v>0.5455</v>
      </c>
      <c r="O171" s="41">
        <v>0.5455</v>
      </c>
      <c r="P171" s="41">
        <v>0.5</v>
      </c>
      <c r="Q171" s="41">
        <v>0.0476</v>
      </c>
      <c r="R171" s="41">
        <v>0.2273</v>
      </c>
      <c r="S171" s="41">
        <v>0.0455</v>
      </c>
      <c r="T171" s="41">
        <v>0.0435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customHeight="1">
      <c r="A172" s="35" t="s">
        <v>235</v>
      </c>
      <c r="B172" s="35" t="s">
        <v>236</v>
      </c>
      <c r="C172" s="35">
        <v>7.0</v>
      </c>
      <c r="D172" s="35">
        <v>1.512052405E10</v>
      </c>
      <c r="E172" s="35">
        <v>2.40007007E8</v>
      </c>
      <c r="F172" s="39" t="s">
        <v>403</v>
      </c>
      <c r="G172" s="41" t="str">
        <f t="shared" si="14"/>
        <v>Pending</v>
      </c>
      <c r="H172" s="44">
        <f t="shared" si="15"/>
        <v>-41</v>
      </c>
      <c r="I172" s="44">
        <f t="shared" si="16"/>
        <v>104</v>
      </c>
      <c r="J172" s="44">
        <f t="shared" si="17"/>
        <v>112</v>
      </c>
      <c r="K172" s="41"/>
      <c r="L172" s="41">
        <v>0.7273</v>
      </c>
      <c r="M172" s="41">
        <v>0.8889</v>
      </c>
      <c r="N172" s="41">
        <v>0.8182</v>
      </c>
      <c r="O172" s="41">
        <v>0.8182</v>
      </c>
      <c r="P172" s="41">
        <v>0.0455</v>
      </c>
      <c r="Q172" s="41">
        <v>0.0476</v>
      </c>
      <c r="R172" s="41">
        <v>0.0909</v>
      </c>
      <c r="S172" s="41">
        <v>0.0455</v>
      </c>
      <c r="T172" s="41">
        <v>0.0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customHeight="1">
      <c r="A173" s="35" t="s">
        <v>235</v>
      </c>
      <c r="B173" s="35" t="s">
        <v>236</v>
      </c>
      <c r="C173" s="35">
        <v>8.0</v>
      </c>
      <c r="D173" s="35">
        <v>1.5120524041E10</v>
      </c>
      <c r="E173" s="35">
        <v>2.40007008E8</v>
      </c>
      <c r="F173" s="39" t="s">
        <v>404</v>
      </c>
      <c r="G173" s="41" t="str">
        <f t="shared" si="14"/>
        <v>Pending</v>
      </c>
      <c r="H173" s="44">
        <f t="shared" si="15"/>
        <v>-2</v>
      </c>
      <c r="I173" s="44">
        <f t="shared" si="16"/>
        <v>211</v>
      </c>
      <c r="J173" s="44">
        <f t="shared" si="17"/>
        <v>5</v>
      </c>
      <c r="K173" s="41"/>
      <c r="L173" s="41">
        <v>0.8182</v>
      </c>
      <c r="M173" s="41">
        <v>0.7778</v>
      </c>
      <c r="N173" s="41">
        <v>0.8182</v>
      </c>
      <c r="O173" s="41">
        <v>0.9091</v>
      </c>
      <c r="P173" s="41">
        <v>0.8636</v>
      </c>
      <c r="Q173" s="41">
        <v>0.9524</v>
      </c>
      <c r="R173" s="41">
        <v>0.8636</v>
      </c>
      <c r="S173" s="41">
        <v>0.9545</v>
      </c>
      <c r="T173" s="41">
        <v>0.087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customHeight="1">
      <c r="A174" s="35" t="s">
        <v>235</v>
      </c>
      <c r="B174" s="35" t="s">
        <v>236</v>
      </c>
      <c r="C174" s="35">
        <v>9.0</v>
      </c>
      <c r="D174" s="35">
        <v>1.5120524017E10</v>
      </c>
      <c r="E174" s="35">
        <v>2.40007009E8</v>
      </c>
      <c r="F174" s="39" t="s">
        <v>405</v>
      </c>
      <c r="G174" s="41" t="str">
        <f t="shared" si="14"/>
        <v>OK</v>
      </c>
      <c r="H174" s="44">
        <f t="shared" si="15"/>
        <v>9</v>
      </c>
      <c r="I174" s="44">
        <f t="shared" si="16"/>
        <v>241</v>
      </c>
      <c r="J174" s="44">
        <f t="shared" si="17"/>
        <v>0</v>
      </c>
      <c r="K174" s="41"/>
      <c r="L174" s="41">
        <v>1.0</v>
      </c>
      <c r="M174" s="41">
        <v>1.0</v>
      </c>
      <c r="N174" s="41">
        <v>0.9091</v>
      </c>
      <c r="O174" s="41">
        <v>1.0</v>
      </c>
      <c r="P174" s="41">
        <v>0.8636</v>
      </c>
      <c r="Q174" s="41">
        <v>0.8095</v>
      </c>
      <c r="R174" s="41">
        <v>0.9091</v>
      </c>
      <c r="S174" s="41">
        <v>0.5455</v>
      </c>
      <c r="T174" s="41">
        <v>1.0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customHeight="1">
      <c r="A175" s="35" t="s">
        <v>235</v>
      </c>
      <c r="B175" s="35" t="s">
        <v>236</v>
      </c>
      <c r="C175" s="35">
        <v>10.0</v>
      </c>
      <c r="D175" s="35">
        <v>1.5120524065E10</v>
      </c>
      <c r="E175" s="35">
        <v>2.40007012E8</v>
      </c>
      <c r="F175" s="39" t="s">
        <v>406</v>
      </c>
      <c r="G175" s="41" t="str">
        <f t="shared" si="14"/>
        <v>OK</v>
      </c>
      <c r="H175" s="44">
        <f t="shared" si="15"/>
        <v>15</v>
      </c>
      <c r="I175" s="44">
        <f t="shared" si="16"/>
        <v>258</v>
      </c>
      <c r="J175" s="44">
        <f t="shared" si="17"/>
        <v>0</v>
      </c>
      <c r="K175" s="41"/>
      <c r="L175" s="41">
        <v>1.0</v>
      </c>
      <c r="M175" s="41">
        <v>0.9444</v>
      </c>
      <c r="N175" s="41">
        <v>0.8636</v>
      </c>
      <c r="O175" s="41">
        <v>1.0</v>
      </c>
      <c r="P175" s="41">
        <v>0.9545</v>
      </c>
      <c r="Q175" s="41">
        <v>1.0</v>
      </c>
      <c r="R175" s="41">
        <v>1.0</v>
      </c>
      <c r="S175" s="41">
        <v>0.9545</v>
      </c>
      <c r="T175" s="41">
        <v>0.8696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customHeight="1">
      <c r="A176" s="35" t="s">
        <v>235</v>
      </c>
      <c r="B176" s="35" t="s">
        <v>236</v>
      </c>
      <c r="C176" s="35">
        <v>11.0</v>
      </c>
      <c r="D176" s="35">
        <v>1.5120524003E10</v>
      </c>
      <c r="E176" s="35">
        <v>2.40007014E8</v>
      </c>
      <c r="F176" s="39" t="s">
        <v>407</v>
      </c>
      <c r="G176" s="41" t="str">
        <f t="shared" si="14"/>
        <v>OK</v>
      </c>
      <c r="H176" s="44">
        <f t="shared" si="15"/>
        <v>14</v>
      </c>
      <c r="I176" s="44">
        <f t="shared" si="16"/>
        <v>254</v>
      </c>
      <c r="J176" s="44">
        <f t="shared" si="17"/>
        <v>0</v>
      </c>
      <c r="K176" s="41"/>
      <c r="L176" s="41">
        <v>1.0</v>
      </c>
      <c r="M176" s="41">
        <v>1.0</v>
      </c>
      <c r="N176" s="41">
        <v>1.0</v>
      </c>
      <c r="O176" s="41">
        <v>1.0</v>
      </c>
      <c r="P176" s="41">
        <v>1.0</v>
      </c>
      <c r="Q176" s="41">
        <v>0.9048</v>
      </c>
      <c r="R176" s="41">
        <v>0.8182</v>
      </c>
      <c r="S176" s="41">
        <v>0.8182</v>
      </c>
      <c r="T176" s="41">
        <v>0.913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customHeight="1">
      <c r="A177" s="35" t="s">
        <v>235</v>
      </c>
      <c r="B177" s="35" t="s">
        <v>236</v>
      </c>
      <c r="C177" s="35">
        <v>12.0</v>
      </c>
      <c r="D177" s="35">
        <v>1.5120524072E10</v>
      </c>
      <c r="E177" s="35">
        <v>2.40007015E8</v>
      </c>
      <c r="F177" s="39" t="s">
        <v>409</v>
      </c>
      <c r="G177" s="41" t="str">
        <f t="shared" si="14"/>
        <v>OK</v>
      </c>
      <c r="H177" s="44">
        <f t="shared" si="15"/>
        <v>17</v>
      </c>
      <c r="I177" s="44">
        <f t="shared" si="16"/>
        <v>263</v>
      </c>
      <c r="J177" s="44">
        <f t="shared" si="17"/>
        <v>0</v>
      </c>
      <c r="K177" s="41"/>
      <c r="L177" s="41">
        <v>1.0</v>
      </c>
      <c r="M177" s="41">
        <v>1.0</v>
      </c>
      <c r="N177" s="41">
        <v>1.0</v>
      </c>
      <c r="O177" s="41">
        <v>1.0</v>
      </c>
      <c r="P177" s="41">
        <v>0.9091</v>
      </c>
      <c r="Q177" s="41">
        <v>0.9048</v>
      </c>
      <c r="R177" s="41">
        <v>1.0</v>
      </c>
      <c r="S177" s="41">
        <v>0.9545</v>
      </c>
      <c r="T177" s="41">
        <v>1.0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customHeight="1">
      <c r="A178" s="35" t="s">
        <v>235</v>
      </c>
      <c r="B178" s="35" t="s">
        <v>236</v>
      </c>
      <c r="C178" s="35">
        <v>13.0</v>
      </c>
      <c r="D178" s="35">
        <v>1.5120524042E10</v>
      </c>
      <c r="E178" s="35">
        <v>2.40007016E8</v>
      </c>
      <c r="F178" s="39" t="s">
        <v>410</v>
      </c>
      <c r="G178" s="41" t="str">
        <f t="shared" si="14"/>
        <v>OK</v>
      </c>
      <c r="H178" s="44">
        <f t="shared" si="15"/>
        <v>7</v>
      </c>
      <c r="I178" s="44">
        <f t="shared" si="16"/>
        <v>235</v>
      </c>
      <c r="J178" s="44">
        <f t="shared" si="17"/>
        <v>0</v>
      </c>
      <c r="K178" s="41"/>
      <c r="L178" s="41">
        <v>0.2727</v>
      </c>
      <c r="M178" s="41">
        <v>1.0</v>
      </c>
      <c r="N178" s="41">
        <v>0.7273</v>
      </c>
      <c r="O178" s="41">
        <v>1.0</v>
      </c>
      <c r="P178" s="41">
        <v>1.0</v>
      </c>
      <c r="Q178" s="41">
        <v>1.0</v>
      </c>
      <c r="R178" s="41">
        <v>0.8182</v>
      </c>
      <c r="S178" s="41">
        <v>1.0</v>
      </c>
      <c r="T178" s="41">
        <v>1.0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customHeight="1">
      <c r="A179" s="35" t="s">
        <v>235</v>
      </c>
      <c r="B179" s="35" t="s">
        <v>236</v>
      </c>
      <c r="C179" s="35">
        <v>14.0</v>
      </c>
      <c r="D179" s="35">
        <v>1.5120524038E10</v>
      </c>
      <c r="E179" s="35">
        <v>2.40007017E8</v>
      </c>
      <c r="F179" s="39" t="s">
        <v>412</v>
      </c>
      <c r="G179" s="41" t="str">
        <f t="shared" si="14"/>
        <v>OK</v>
      </c>
      <c r="H179" s="44">
        <f t="shared" si="15"/>
        <v>19</v>
      </c>
      <c r="I179" s="44">
        <f t="shared" si="16"/>
        <v>269</v>
      </c>
      <c r="J179" s="44">
        <f t="shared" si="17"/>
        <v>0</v>
      </c>
      <c r="K179" s="41"/>
      <c r="L179" s="41">
        <v>1.0</v>
      </c>
      <c r="M179" s="41">
        <v>1.0</v>
      </c>
      <c r="N179" s="41">
        <v>1.0</v>
      </c>
      <c r="O179" s="41">
        <v>1.0</v>
      </c>
      <c r="P179" s="41">
        <v>0.9545</v>
      </c>
      <c r="Q179" s="41">
        <v>1.0</v>
      </c>
      <c r="R179" s="41">
        <v>1.0</v>
      </c>
      <c r="S179" s="41">
        <v>1.0</v>
      </c>
      <c r="T179" s="41">
        <v>1.0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customHeight="1">
      <c r="A180" s="35" t="s">
        <v>235</v>
      </c>
      <c r="B180" s="35" t="s">
        <v>236</v>
      </c>
      <c r="C180" s="35">
        <v>15.0</v>
      </c>
      <c r="D180" s="35">
        <v>1.5120524049E10</v>
      </c>
      <c r="E180" s="35">
        <v>2.40007018E8</v>
      </c>
      <c r="F180" s="39" t="s">
        <v>414</v>
      </c>
      <c r="G180" s="41" t="str">
        <f t="shared" si="14"/>
        <v>Pending</v>
      </c>
      <c r="H180" s="44">
        <f t="shared" si="15"/>
        <v>-9</v>
      </c>
      <c r="I180" s="44">
        <f t="shared" si="16"/>
        <v>192</v>
      </c>
      <c r="J180" s="44">
        <f t="shared" si="17"/>
        <v>24</v>
      </c>
      <c r="K180" s="41"/>
      <c r="L180" s="41">
        <v>0.6818</v>
      </c>
      <c r="M180" s="41">
        <v>0.7222</v>
      </c>
      <c r="N180" s="41">
        <v>0.8182</v>
      </c>
      <c r="O180" s="41">
        <v>0.7727</v>
      </c>
      <c r="P180" s="41">
        <v>0.6364</v>
      </c>
      <c r="Q180" s="41">
        <v>0.8095</v>
      </c>
      <c r="R180" s="41">
        <v>0.6818</v>
      </c>
      <c r="S180" s="41">
        <v>0.5909</v>
      </c>
      <c r="T180" s="41">
        <v>0.6957</v>
      </c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customHeight="1">
      <c r="A181" s="35" t="s">
        <v>235</v>
      </c>
      <c r="B181" s="35" t="s">
        <v>236</v>
      </c>
      <c r="C181" s="35">
        <v>16.0</v>
      </c>
      <c r="D181" s="35">
        <v>1.5120524058E10</v>
      </c>
      <c r="E181" s="35">
        <v>2.4000702E8</v>
      </c>
      <c r="F181" s="39" t="s">
        <v>416</v>
      </c>
      <c r="G181" s="41" t="str">
        <f t="shared" si="14"/>
        <v>OK</v>
      </c>
      <c r="H181" s="44">
        <f t="shared" si="15"/>
        <v>4</v>
      </c>
      <c r="I181" s="44">
        <f t="shared" si="16"/>
        <v>226</v>
      </c>
      <c r="J181" s="44">
        <f t="shared" si="17"/>
        <v>0</v>
      </c>
      <c r="K181" s="41"/>
      <c r="L181" s="41">
        <v>0.7273</v>
      </c>
      <c r="M181" s="41">
        <v>0.8333</v>
      </c>
      <c r="N181" s="41">
        <v>0.3636</v>
      </c>
      <c r="O181" s="41">
        <v>0.9091</v>
      </c>
      <c r="P181" s="41">
        <v>0.9545</v>
      </c>
      <c r="Q181" s="41">
        <v>1.0</v>
      </c>
      <c r="R181" s="41">
        <v>0.9545</v>
      </c>
      <c r="S181" s="41">
        <v>0.9545</v>
      </c>
      <c r="T181" s="41">
        <v>0.8261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customHeight="1">
      <c r="A182" s="35" t="s">
        <v>235</v>
      </c>
      <c r="B182" s="35" t="s">
        <v>236</v>
      </c>
      <c r="C182" s="35">
        <v>17.0</v>
      </c>
      <c r="D182" s="35">
        <v>1.5120524074E10</v>
      </c>
      <c r="E182" s="35">
        <v>2.40007021E8</v>
      </c>
      <c r="F182" s="39" t="s">
        <v>418</v>
      </c>
      <c r="G182" s="41" t="str">
        <f t="shared" si="14"/>
        <v>Pending</v>
      </c>
      <c r="H182" s="44">
        <f t="shared" si="15"/>
        <v>-1</v>
      </c>
      <c r="I182" s="44">
        <f t="shared" si="16"/>
        <v>214</v>
      </c>
      <c r="J182" s="44">
        <f t="shared" si="17"/>
        <v>2</v>
      </c>
      <c r="K182" s="41"/>
      <c r="L182" s="41">
        <v>0.1818</v>
      </c>
      <c r="M182" s="41">
        <v>0.4444</v>
      </c>
      <c r="N182" s="41">
        <v>0.9091</v>
      </c>
      <c r="O182" s="41">
        <v>1.0</v>
      </c>
      <c r="P182" s="41">
        <v>1.0</v>
      </c>
      <c r="Q182" s="41">
        <v>0.8095</v>
      </c>
      <c r="R182" s="41">
        <v>0.9545</v>
      </c>
      <c r="S182" s="41">
        <v>0.9091</v>
      </c>
      <c r="T182" s="41">
        <v>0.913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35" t="s">
        <v>235</v>
      </c>
      <c r="B183" s="35" t="s">
        <v>236</v>
      </c>
      <c r="C183" s="35">
        <v>18.0</v>
      </c>
      <c r="D183" s="35">
        <v>1.512052404E10</v>
      </c>
      <c r="E183" s="35">
        <v>2.40007022E8</v>
      </c>
      <c r="F183" s="39" t="s">
        <v>420</v>
      </c>
      <c r="G183" s="41" t="str">
        <f t="shared" si="14"/>
        <v>OK</v>
      </c>
      <c r="H183" s="44">
        <f t="shared" si="15"/>
        <v>0</v>
      </c>
      <c r="I183" s="44">
        <f t="shared" si="16"/>
        <v>215</v>
      </c>
      <c r="J183" s="44">
        <f t="shared" si="17"/>
        <v>1</v>
      </c>
      <c r="K183" s="41"/>
      <c r="L183" s="41">
        <v>0.5455</v>
      </c>
      <c r="M183" s="41">
        <v>0.8889</v>
      </c>
      <c r="N183" s="41">
        <v>0.9091</v>
      </c>
      <c r="O183" s="41">
        <v>0.8182</v>
      </c>
      <c r="P183" s="41">
        <v>0.8182</v>
      </c>
      <c r="Q183" s="41">
        <v>0.9048</v>
      </c>
      <c r="R183" s="41">
        <v>0.7727</v>
      </c>
      <c r="S183" s="41">
        <v>0.7727</v>
      </c>
      <c r="T183" s="41">
        <v>0.7391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5.75" customHeight="1">
      <c r="A184" s="35" t="s">
        <v>235</v>
      </c>
      <c r="B184" s="35" t="s">
        <v>236</v>
      </c>
      <c r="C184" s="35">
        <v>19.0</v>
      </c>
      <c r="D184" s="35">
        <v>1.512052401E10</v>
      </c>
      <c r="E184" s="35">
        <v>2.40007023E8</v>
      </c>
      <c r="F184" s="39" t="s">
        <v>422</v>
      </c>
      <c r="G184" s="41" t="str">
        <f t="shared" si="14"/>
        <v>OK</v>
      </c>
      <c r="H184" s="44">
        <f t="shared" si="15"/>
        <v>9</v>
      </c>
      <c r="I184" s="44">
        <f t="shared" si="16"/>
        <v>239</v>
      </c>
      <c r="J184" s="44">
        <f t="shared" si="17"/>
        <v>0</v>
      </c>
      <c r="K184" s="41"/>
      <c r="L184" s="41">
        <v>1.0</v>
      </c>
      <c r="M184" s="41">
        <v>0.8889</v>
      </c>
      <c r="N184" s="41">
        <v>1.0</v>
      </c>
      <c r="O184" s="41">
        <v>0.9545</v>
      </c>
      <c r="P184" s="41">
        <v>0.5455</v>
      </c>
      <c r="Q184" s="41">
        <v>0.8571</v>
      </c>
      <c r="R184" s="41">
        <v>0.9545</v>
      </c>
      <c r="S184" s="41">
        <v>0.8182</v>
      </c>
      <c r="T184" s="41">
        <v>0.9565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5.75" customHeight="1">
      <c r="A185" s="35" t="s">
        <v>235</v>
      </c>
      <c r="B185" s="35" t="s">
        <v>236</v>
      </c>
      <c r="C185" s="35">
        <v>20.0</v>
      </c>
      <c r="D185" s="35">
        <v>1.5120524053E10</v>
      </c>
      <c r="E185" s="35">
        <v>2.40007025E8</v>
      </c>
      <c r="F185" s="39" t="s">
        <v>423</v>
      </c>
      <c r="G185" s="41" t="str">
        <f t="shared" si="14"/>
        <v>OK</v>
      </c>
      <c r="H185" s="44">
        <f t="shared" si="15"/>
        <v>12</v>
      </c>
      <c r="I185" s="44">
        <f t="shared" si="16"/>
        <v>249</v>
      </c>
      <c r="J185" s="44">
        <f t="shared" si="17"/>
        <v>0</v>
      </c>
      <c r="K185" s="41"/>
      <c r="L185" s="41">
        <v>0.8182</v>
      </c>
      <c r="M185" s="41">
        <v>0.8889</v>
      </c>
      <c r="N185" s="41">
        <v>0.9545</v>
      </c>
      <c r="O185" s="41">
        <v>1.0</v>
      </c>
      <c r="P185" s="41">
        <v>0.9091</v>
      </c>
      <c r="Q185" s="41">
        <v>0.9524</v>
      </c>
      <c r="R185" s="41">
        <v>1.0</v>
      </c>
      <c r="S185" s="41">
        <v>0.9091</v>
      </c>
      <c r="T185" s="41">
        <v>0.8696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5.75" customHeight="1">
      <c r="A186" s="35" t="s">
        <v>235</v>
      </c>
      <c r="B186" s="35" t="s">
        <v>236</v>
      </c>
      <c r="C186" s="35">
        <v>21.0</v>
      </c>
      <c r="D186" s="35">
        <v>1.5120524031E10</v>
      </c>
      <c r="E186" s="35">
        <v>2.40007026E8</v>
      </c>
      <c r="F186" s="39" t="s">
        <v>425</v>
      </c>
      <c r="G186" s="41" t="str">
        <f t="shared" si="14"/>
        <v>OK</v>
      </c>
      <c r="H186" s="44">
        <f t="shared" si="15"/>
        <v>18</v>
      </c>
      <c r="I186" s="44">
        <f t="shared" si="16"/>
        <v>263</v>
      </c>
      <c r="J186" s="44">
        <f t="shared" si="17"/>
        <v>0</v>
      </c>
      <c r="K186" s="41"/>
      <c r="L186" s="41">
        <v>1.0</v>
      </c>
      <c r="M186" s="41">
        <v>1.0</v>
      </c>
      <c r="N186" s="41">
        <v>1.0</v>
      </c>
      <c r="O186" s="41">
        <v>1.0</v>
      </c>
      <c r="P186" s="41">
        <v>1.0</v>
      </c>
      <c r="Q186" s="41">
        <v>1.0</v>
      </c>
      <c r="R186" s="41">
        <v>1.0</v>
      </c>
      <c r="S186" s="41">
        <v>1.0</v>
      </c>
      <c r="T186" s="41">
        <v>0.7826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35" t="s">
        <v>235</v>
      </c>
      <c r="B187" s="35" t="s">
        <v>236</v>
      </c>
      <c r="C187" s="35">
        <v>22.0</v>
      </c>
      <c r="D187" s="35">
        <v>1.5120524005E10</v>
      </c>
      <c r="E187" s="35">
        <v>2.40007028E8</v>
      </c>
      <c r="F187" s="39" t="s">
        <v>427</v>
      </c>
      <c r="G187" s="41" t="str">
        <f t="shared" si="14"/>
        <v>OK</v>
      </c>
      <c r="H187" s="44">
        <f t="shared" si="15"/>
        <v>19</v>
      </c>
      <c r="I187" s="44">
        <f t="shared" si="16"/>
        <v>269</v>
      </c>
      <c r="J187" s="44">
        <f t="shared" si="17"/>
        <v>0</v>
      </c>
      <c r="K187" s="41"/>
      <c r="L187" s="41">
        <v>1.0</v>
      </c>
      <c r="M187" s="41">
        <v>1.0</v>
      </c>
      <c r="N187" s="41">
        <v>1.0</v>
      </c>
      <c r="O187" s="41">
        <v>1.0</v>
      </c>
      <c r="P187" s="41">
        <v>1.0</v>
      </c>
      <c r="Q187" s="41">
        <v>1.0</v>
      </c>
      <c r="R187" s="41">
        <v>0.9545</v>
      </c>
      <c r="S187" s="41">
        <v>1.0</v>
      </c>
      <c r="T187" s="41">
        <v>1.0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5.75" customHeight="1">
      <c r="A188" s="35" t="s">
        <v>235</v>
      </c>
      <c r="B188" s="35" t="s">
        <v>236</v>
      </c>
      <c r="C188" s="35">
        <v>23.0</v>
      </c>
      <c r="D188" s="35">
        <v>1.5120524068E10</v>
      </c>
      <c r="E188" s="35">
        <v>2.40007029E8</v>
      </c>
      <c r="F188" s="39" t="s">
        <v>429</v>
      </c>
      <c r="G188" s="41" t="str">
        <f t="shared" si="14"/>
        <v>OK</v>
      </c>
      <c r="H188" s="44">
        <f t="shared" si="15"/>
        <v>13</v>
      </c>
      <c r="I188" s="44">
        <f t="shared" si="16"/>
        <v>251</v>
      </c>
      <c r="J188" s="44">
        <f t="shared" si="17"/>
        <v>0</v>
      </c>
      <c r="K188" s="41"/>
      <c r="L188" s="41">
        <v>1.0</v>
      </c>
      <c r="M188" s="41">
        <v>1.0</v>
      </c>
      <c r="N188" s="41">
        <v>0.9091</v>
      </c>
      <c r="O188" s="41">
        <v>1.0</v>
      </c>
      <c r="P188" s="41">
        <v>0.9545</v>
      </c>
      <c r="Q188" s="41">
        <v>0.9048</v>
      </c>
      <c r="R188" s="41">
        <v>0.9091</v>
      </c>
      <c r="S188" s="41">
        <v>0.9091</v>
      </c>
      <c r="T188" s="41">
        <v>0.7826</v>
      </c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5.75" customHeight="1">
      <c r="A189" s="35" t="s">
        <v>235</v>
      </c>
      <c r="B189" s="35" t="s">
        <v>236</v>
      </c>
      <c r="C189" s="35">
        <v>24.0</v>
      </c>
      <c r="D189" s="35">
        <v>1.512052402E10</v>
      </c>
      <c r="E189" s="35">
        <v>2.4000703E8</v>
      </c>
      <c r="F189" s="39" t="s">
        <v>431</v>
      </c>
      <c r="G189" s="41" t="str">
        <f t="shared" si="14"/>
        <v>OK</v>
      </c>
      <c r="H189" s="44">
        <f t="shared" si="15"/>
        <v>17</v>
      </c>
      <c r="I189" s="44">
        <f t="shared" si="16"/>
        <v>262</v>
      </c>
      <c r="J189" s="44">
        <f t="shared" si="17"/>
        <v>0</v>
      </c>
      <c r="K189" s="41"/>
      <c r="L189" s="41">
        <v>1.0</v>
      </c>
      <c r="M189" s="41">
        <v>1.0</v>
      </c>
      <c r="N189" s="41">
        <v>0.8636</v>
      </c>
      <c r="O189" s="41">
        <v>1.0</v>
      </c>
      <c r="P189" s="41">
        <v>1.0</v>
      </c>
      <c r="Q189" s="41">
        <v>0.8571</v>
      </c>
      <c r="R189" s="41">
        <v>1.0</v>
      </c>
      <c r="S189" s="41">
        <v>1.0</v>
      </c>
      <c r="T189" s="41">
        <v>1.0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5.75" customHeight="1">
      <c r="A190" s="35" t="s">
        <v>235</v>
      </c>
      <c r="B190" s="35" t="s">
        <v>236</v>
      </c>
      <c r="C190" s="35">
        <v>25.0</v>
      </c>
      <c r="D190" s="35">
        <v>1.5120524026E10</v>
      </c>
      <c r="E190" s="35">
        <v>2.40007031E8</v>
      </c>
      <c r="F190" s="39" t="s">
        <v>433</v>
      </c>
      <c r="G190" s="41" t="str">
        <f t="shared" si="14"/>
        <v>OK</v>
      </c>
      <c r="H190" s="44">
        <f t="shared" si="15"/>
        <v>3</v>
      </c>
      <c r="I190" s="44">
        <f t="shared" si="16"/>
        <v>223</v>
      </c>
      <c r="J190" s="44">
        <f t="shared" si="17"/>
        <v>0</v>
      </c>
      <c r="K190" s="41"/>
      <c r="L190" s="41">
        <v>0.6364</v>
      </c>
      <c r="M190" s="41">
        <v>0.8889</v>
      </c>
      <c r="N190" s="41">
        <v>0.9091</v>
      </c>
      <c r="O190" s="41">
        <v>0.8182</v>
      </c>
      <c r="P190" s="41">
        <v>0.9545</v>
      </c>
      <c r="Q190" s="41">
        <v>0.8571</v>
      </c>
      <c r="R190" s="41">
        <v>0.8182</v>
      </c>
      <c r="S190" s="41">
        <v>0.7273</v>
      </c>
      <c r="T190" s="41">
        <v>0.8261</v>
      </c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5.75" customHeight="1">
      <c r="A191" s="35" t="s">
        <v>235</v>
      </c>
      <c r="B191" s="35" t="s">
        <v>236</v>
      </c>
      <c r="C191" s="35">
        <v>26.0</v>
      </c>
      <c r="D191" s="35">
        <v>1.5120524001E10</v>
      </c>
      <c r="E191" s="35">
        <v>2.40007032E8</v>
      </c>
      <c r="F191" s="39" t="s">
        <v>435</v>
      </c>
      <c r="G191" s="41" t="str">
        <f t="shared" si="14"/>
        <v>Pending</v>
      </c>
      <c r="H191" s="44">
        <f t="shared" si="15"/>
        <v>-28</v>
      </c>
      <c r="I191" s="44">
        <f t="shared" si="16"/>
        <v>141</v>
      </c>
      <c r="J191" s="44">
        <f t="shared" si="17"/>
        <v>75</v>
      </c>
      <c r="K191" s="41"/>
      <c r="L191" s="41">
        <v>0.0</v>
      </c>
      <c r="M191" s="41">
        <v>0.1111</v>
      </c>
      <c r="N191" s="41">
        <v>0.1818</v>
      </c>
      <c r="O191" s="41">
        <v>0.5909</v>
      </c>
      <c r="P191" s="41">
        <v>0.8636</v>
      </c>
      <c r="Q191" s="41">
        <v>0.8571</v>
      </c>
      <c r="R191" s="41">
        <v>0.8182</v>
      </c>
      <c r="S191" s="41">
        <v>0.4091</v>
      </c>
      <c r="T191" s="41">
        <v>0.8696</v>
      </c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5.75" customHeight="1">
      <c r="A192" s="35" t="s">
        <v>235</v>
      </c>
      <c r="B192" s="35" t="s">
        <v>236</v>
      </c>
      <c r="C192" s="35">
        <v>27.0</v>
      </c>
      <c r="D192" s="35">
        <v>1.5120524056E10</v>
      </c>
      <c r="E192" s="35">
        <v>2.40007035E8</v>
      </c>
      <c r="F192" s="39" t="s">
        <v>437</v>
      </c>
      <c r="G192" s="41" t="str">
        <f t="shared" si="14"/>
        <v>OK</v>
      </c>
      <c r="H192" s="44">
        <f t="shared" si="15"/>
        <v>17</v>
      </c>
      <c r="I192" s="44">
        <f t="shared" si="16"/>
        <v>262</v>
      </c>
      <c r="J192" s="44">
        <f t="shared" si="17"/>
        <v>0</v>
      </c>
      <c r="K192" s="41"/>
      <c r="L192" s="41">
        <v>1.0</v>
      </c>
      <c r="M192" s="41">
        <v>0.9444</v>
      </c>
      <c r="N192" s="41">
        <v>1.0</v>
      </c>
      <c r="O192" s="41">
        <v>1.0</v>
      </c>
      <c r="P192" s="41">
        <v>0.9091</v>
      </c>
      <c r="Q192" s="41">
        <v>1.0</v>
      </c>
      <c r="R192" s="41">
        <v>1.0</v>
      </c>
      <c r="S192" s="41">
        <v>0.8636</v>
      </c>
      <c r="T192" s="41">
        <v>1.0</v>
      </c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5.75" customHeight="1">
      <c r="A193" s="35" t="s">
        <v>235</v>
      </c>
      <c r="B193" s="35" t="s">
        <v>236</v>
      </c>
      <c r="C193" s="35">
        <v>28.0</v>
      </c>
      <c r="D193" s="35">
        <v>1.5120524044E10</v>
      </c>
      <c r="E193" s="35">
        <v>2.40007036E8</v>
      </c>
      <c r="F193" s="39" t="s">
        <v>438</v>
      </c>
      <c r="G193" s="41" t="str">
        <f t="shared" si="14"/>
        <v>OK</v>
      </c>
      <c r="H193" s="44">
        <f t="shared" si="15"/>
        <v>5</v>
      </c>
      <c r="I193" s="44">
        <f t="shared" si="16"/>
        <v>228</v>
      </c>
      <c r="J193" s="44">
        <f t="shared" si="17"/>
        <v>0</v>
      </c>
      <c r="K193" s="41"/>
      <c r="L193" s="41">
        <v>0.7727</v>
      </c>
      <c r="M193" s="41">
        <v>0.8333</v>
      </c>
      <c r="N193" s="41">
        <v>0.7727</v>
      </c>
      <c r="O193" s="41">
        <v>0.9091</v>
      </c>
      <c r="P193" s="41">
        <v>0.8636</v>
      </c>
      <c r="Q193" s="41">
        <v>0.8571</v>
      </c>
      <c r="R193" s="41">
        <v>0.8636</v>
      </c>
      <c r="S193" s="41">
        <v>0.9545</v>
      </c>
      <c r="T193" s="41">
        <v>0.7826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5.75" customHeight="1">
      <c r="A194" s="35" t="s">
        <v>235</v>
      </c>
      <c r="B194" s="35" t="s">
        <v>236</v>
      </c>
      <c r="C194" s="35">
        <v>29.0</v>
      </c>
      <c r="D194" s="35">
        <v>1.5120524004E10</v>
      </c>
      <c r="E194" s="35">
        <v>2.40007038E8</v>
      </c>
      <c r="F194" s="39" t="s">
        <v>440</v>
      </c>
      <c r="G194" s="41" t="str">
        <f t="shared" si="14"/>
        <v>OK</v>
      </c>
      <c r="H194" s="44">
        <f t="shared" si="15"/>
        <v>16</v>
      </c>
      <c r="I194" s="44">
        <f t="shared" si="16"/>
        <v>259</v>
      </c>
      <c r="J194" s="44">
        <f t="shared" si="17"/>
        <v>0</v>
      </c>
      <c r="K194" s="41"/>
      <c r="L194" s="41">
        <v>1.0</v>
      </c>
      <c r="M194" s="41">
        <v>1.0</v>
      </c>
      <c r="N194" s="41">
        <v>0.9091</v>
      </c>
      <c r="O194" s="41">
        <v>1.0</v>
      </c>
      <c r="P194" s="41">
        <v>1.0</v>
      </c>
      <c r="Q194" s="41">
        <v>0.7619</v>
      </c>
      <c r="R194" s="41">
        <v>0.9545</v>
      </c>
      <c r="S194" s="41">
        <v>1.0</v>
      </c>
      <c r="T194" s="41">
        <v>1.0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35" t="s">
        <v>235</v>
      </c>
      <c r="B195" s="35" t="s">
        <v>236</v>
      </c>
      <c r="C195" s="35">
        <v>30.0</v>
      </c>
      <c r="D195" s="35">
        <v>1.5120524006E10</v>
      </c>
      <c r="E195" s="35">
        <v>2.40007039E8</v>
      </c>
      <c r="F195" s="39" t="s">
        <v>442</v>
      </c>
      <c r="G195" s="41" t="str">
        <f t="shared" si="14"/>
        <v>Pending</v>
      </c>
      <c r="H195" s="44">
        <f t="shared" si="15"/>
        <v>-77</v>
      </c>
      <c r="I195" s="44">
        <f t="shared" si="16"/>
        <v>7</v>
      </c>
      <c r="J195" s="44">
        <f t="shared" si="17"/>
        <v>209</v>
      </c>
      <c r="K195" s="41"/>
      <c r="L195" s="41">
        <v>0.0</v>
      </c>
      <c r="M195" s="41">
        <v>0.1111</v>
      </c>
      <c r="N195" s="41">
        <v>0.0</v>
      </c>
      <c r="O195" s="41">
        <v>0.0</v>
      </c>
      <c r="P195" s="41">
        <v>0.0455</v>
      </c>
      <c r="Q195" s="41">
        <v>0.0</v>
      </c>
      <c r="R195" s="41">
        <v>0.0909</v>
      </c>
      <c r="S195" s="41">
        <v>0.0</v>
      </c>
      <c r="T195" s="41">
        <v>0.0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5.75" customHeight="1">
      <c r="A196" s="35" t="s">
        <v>235</v>
      </c>
      <c r="B196" s="35" t="s">
        <v>236</v>
      </c>
      <c r="C196" s="35">
        <v>31.0</v>
      </c>
      <c r="D196" s="35">
        <v>1.5120524032E10</v>
      </c>
      <c r="E196" s="35">
        <v>2.4000704E8</v>
      </c>
      <c r="F196" s="39" t="s">
        <v>444</v>
      </c>
      <c r="G196" s="41" t="str">
        <f t="shared" si="14"/>
        <v>OK</v>
      </c>
      <c r="H196" s="44">
        <f t="shared" si="15"/>
        <v>6</v>
      </c>
      <c r="I196" s="44">
        <f t="shared" si="16"/>
        <v>231</v>
      </c>
      <c r="J196" s="44">
        <f t="shared" si="17"/>
        <v>0</v>
      </c>
      <c r="K196" s="41"/>
      <c r="L196" s="41">
        <v>0.4091</v>
      </c>
      <c r="M196" s="41">
        <v>1.0</v>
      </c>
      <c r="N196" s="41">
        <v>0.8182</v>
      </c>
      <c r="O196" s="41">
        <v>1.0</v>
      </c>
      <c r="P196" s="41">
        <v>0.8182</v>
      </c>
      <c r="Q196" s="41">
        <v>1.0</v>
      </c>
      <c r="R196" s="41">
        <v>0.9545</v>
      </c>
      <c r="S196" s="41">
        <v>1.0</v>
      </c>
      <c r="T196" s="41">
        <v>0.6957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5.75" customHeight="1">
      <c r="A197" s="35" t="s">
        <v>235</v>
      </c>
      <c r="B197" s="35" t="s">
        <v>236</v>
      </c>
      <c r="C197" s="35">
        <v>32.0</v>
      </c>
      <c r="D197" s="35">
        <v>1.5120524055E10</v>
      </c>
      <c r="E197" s="35">
        <v>2.40007042E8</v>
      </c>
      <c r="F197" s="39" t="s">
        <v>446</v>
      </c>
      <c r="G197" s="41" t="str">
        <f t="shared" si="14"/>
        <v>OK</v>
      </c>
      <c r="H197" s="44">
        <f t="shared" si="15"/>
        <v>16</v>
      </c>
      <c r="I197" s="44">
        <f t="shared" si="16"/>
        <v>259</v>
      </c>
      <c r="J197" s="44">
        <f t="shared" si="17"/>
        <v>0</v>
      </c>
      <c r="K197" s="41"/>
      <c r="L197" s="41">
        <v>0.7273</v>
      </c>
      <c r="M197" s="41">
        <v>1.0</v>
      </c>
      <c r="N197" s="41">
        <v>1.0</v>
      </c>
      <c r="O197" s="41">
        <v>1.0</v>
      </c>
      <c r="P197" s="41">
        <v>1.0</v>
      </c>
      <c r="Q197" s="41">
        <v>0.9048</v>
      </c>
      <c r="R197" s="41">
        <v>1.0</v>
      </c>
      <c r="S197" s="41">
        <v>1.0</v>
      </c>
      <c r="T197" s="41">
        <v>1.0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5.75" customHeight="1">
      <c r="A198" s="35" t="s">
        <v>235</v>
      </c>
      <c r="B198" s="35" t="s">
        <v>236</v>
      </c>
      <c r="C198" s="35">
        <v>33.0</v>
      </c>
      <c r="D198" s="35">
        <v>1.5120524033E10</v>
      </c>
      <c r="E198" s="35">
        <v>2.40007043E8</v>
      </c>
      <c r="F198" s="39" t="s">
        <v>448</v>
      </c>
      <c r="G198" s="41" t="str">
        <f t="shared" si="14"/>
        <v>OK</v>
      </c>
      <c r="H198" s="44">
        <f t="shared" si="15"/>
        <v>14</v>
      </c>
      <c r="I198" s="44">
        <f t="shared" si="16"/>
        <v>254</v>
      </c>
      <c r="J198" s="44">
        <f t="shared" si="17"/>
        <v>0</v>
      </c>
      <c r="K198" s="41"/>
      <c r="L198" s="41">
        <v>1.0</v>
      </c>
      <c r="M198" s="41">
        <v>0.8889</v>
      </c>
      <c r="N198" s="41">
        <v>1.0</v>
      </c>
      <c r="O198" s="41">
        <v>1.0</v>
      </c>
      <c r="P198" s="41">
        <v>0.8636</v>
      </c>
      <c r="Q198" s="41">
        <v>0.9048</v>
      </c>
      <c r="R198" s="41">
        <v>0.9091</v>
      </c>
      <c r="S198" s="41">
        <v>0.9091</v>
      </c>
      <c r="T198" s="41">
        <v>1.0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5.75" customHeight="1">
      <c r="A199" s="35" t="s">
        <v>235</v>
      </c>
      <c r="B199" s="35" t="s">
        <v>236</v>
      </c>
      <c r="C199" s="35">
        <v>34.0</v>
      </c>
      <c r="D199" s="35">
        <v>1.5120524057E10</v>
      </c>
      <c r="E199" s="35">
        <v>2.40007044E8</v>
      </c>
      <c r="F199" s="39" t="s">
        <v>450</v>
      </c>
      <c r="G199" s="41" t="str">
        <f t="shared" si="14"/>
        <v>OK</v>
      </c>
      <c r="H199" s="44">
        <f t="shared" si="15"/>
        <v>20</v>
      </c>
      <c r="I199" s="44">
        <f t="shared" si="16"/>
        <v>270</v>
      </c>
      <c r="J199" s="44">
        <f t="shared" si="17"/>
        <v>0</v>
      </c>
      <c r="K199" s="41"/>
      <c r="L199" s="41">
        <v>1.0</v>
      </c>
      <c r="M199" s="41">
        <v>1.0</v>
      </c>
      <c r="N199" s="41">
        <v>1.0</v>
      </c>
      <c r="O199" s="41">
        <v>1.0</v>
      </c>
      <c r="P199" s="41">
        <v>1.0</v>
      </c>
      <c r="Q199" s="41">
        <v>1.0</v>
      </c>
      <c r="R199" s="41">
        <v>1.0</v>
      </c>
      <c r="S199" s="41">
        <v>1.0</v>
      </c>
      <c r="T199" s="41">
        <v>1.0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5.75" customHeight="1">
      <c r="A200" s="35" t="s">
        <v>235</v>
      </c>
      <c r="B200" s="35" t="s">
        <v>236</v>
      </c>
      <c r="C200" s="35">
        <v>35.0</v>
      </c>
      <c r="D200" s="35">
        <v>1.5120524029E10</v>
      </c>
      <c r="E200" s="35">
        <v>2.40007046E8</v>
      </c>
      <c r="F200" s="39" t="s">
        <v>452</v>
      </c>
      <c r="G200" s="41" t="str">
        <f t="shared" si="14"/>
        <v>OK</v>
      </c>
      <c r="H200" s="44">
        <f t="shared" si="15"/>
        <v>6</v>
      </c>
      <c r="I200" s="44">
        <f t="shared" si="16"/>
        <v>233</v>
      </c>
      <c r="J200" s="44">
        <f t="shared" si="17"/>
        <v>0</v>
      </c>
      <c r="K200" s="41"/>
      <c r="L200" s="41">
        <v>0.7273</v>
      </c>
      <c r="M200" s="41">
        <v>1.0</v>
      </c>
      <c r="N200" s="41">
        <v>0.8182</v>
      </c>
      <c r="O200" s="41">
        <v>1.0</v>
      </c>
      <c r="P200" s="41">
        <v>0.9545</v>
      </c>
      <c r="Q200" s="41">
        <v>0.7143</v>
      </c>
      <c r="R200" s="41">
        <v>0.9091</v>
      </c>
      <c r="S200" s="41">
        <v>0.8636</v>
      </c>
      <c r="T200" s="41">
        <v>0.7826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5.75" customHeight="1">
      <c r="A201" s="35" t="s">
        <v>235</v>
      </c>
      <c r="B201" s="35" t="s">
        <v>236</v>
      </c>
      <c r="C201" s="35">
        <v>36.0</v>
      </c>
      <c r="D201" s="35">
        <v>1.5120524028E10</v>
      </c>
      <c r="E201" s="35">
        <v>2.40007048E8</v>
      </c>
      <c r="F201" s="39" t="s">
        <v>454</v>
      </c>
      <c r="G201" s="41" t="str">
        <f t="shared" si="14"/>
        <v>Pending</v>
      </c>
      <c r="H201" s="44">
        <f t="shared" si="15"/>
        <v>-4</v>
      </c>
      <c r="I201" s="44">
        <f t="shared" si="16"/>
        <v>204</v>
      </c>
      <c r="J201" s="44">
        <f t="shared" si="17"/>
        <v>12</v>
      </c>
      <c r="K201" s="41"/>
      <c r="L201" s="41">
        <v>0.4091</v>
      </c>
      <c r="M201" s="41">
        <v>0.7222</v>
      </c>
      <c r="N201" s="41">
        <v>0.8182</v>
      </c>
      <c r="O201" s="41">
        <v>0.9091</v>
      </c>
      <c r="P201" s="41">
        <v>0.6364</v>
      </c>
      <c r="Q201" s="41">
        <v>0.8095</v>
      </c>
      <c r="R201" s="41">
        <v>0.8636</v>
      </c>
      <c r="S201" s="41">
        <v>0.7727</v>
      </c>
      <c r="T201" s="41">
        <v>0.8696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5.75" customHeight="1">
      <c r="A202" s="35" t="s">
        <v>235</v>
      </c>
      <c r="B202" s="35" t="s">
        <v>236</v>
      </c>
      <c r="C202" s="35">
        <v>37.0</v>
      </c>
      <c r="D202" s="35">
        <v>1.5120524015E10</v>
      </c>
      <c r="E202" s="35">
        <v>2.40007049E8</v>
      </c>
      <c r="F202" s="39" t="s">
        <v>455</v>
      </c>
      <c r="G202" s="41" t="str">
        <f t="shared" si="14"/>
        <v>Pending</v>
      </c>
      <c r="H202" s="44">
        <f t="shared" si="15"/>
        <v>-6</v>
      </c>
      <c r="I202" s="44">
        <f t="shared" si="16"/>
        <v>201</v>
      </c>
      <c r="J202" s="44">
        <f t="shared" si="17"/>
        <v>15</v>
      </c>
      <c r="K202" s="41"/>
      <c r="L202" s="41">
        <v>0.5455</v>
      </c>
      <c r="M202" s="41">
        <v>0.8333</v>
      </c>
      <c r="N202" s="41">
        <v>0.8182</v>
      </c>
      <c r="O202" s="41">
        <v>0.7727</v>
      </c>
      <c r="P202" s="41">
        <v>0.6818</v>
      </c>
      <c r="Q202" s="41">
        <v>0.6667</v>
      </c>
      <c r="R202" s="41">
        <v>0.8636</v>
      </c>
      <c r="S202" s="41">
        <v>0.7727</v>
      </c>
      <c r="T202" s="41">
        <v>0.7391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5.75" customHeight="1">
      <c r="A203" s="35" t="s">
        <v>235</v>
      </c>
      <c r="B203" s="35" t="s">
        <v>236</v>
      </c>
      <c r="C203" s="35">
        <v>38.0</v>
      </c>
      <c r="D203" s="35">
        <v>1.5120524076E10</v>
      </c>
      <c r="E203" s="35">
        <v>2.40007051E8</v>
      </c>
      <c r="F203" s="39" t="s">
        <v>457</v>
      </c>
      <c r="G203" s="41" t="str">
        <f t="shared" si="14"/>
        <v>OK</v>
      </c>
      <c r="H203" s="44">
        <f t="shared" si="15"/>
        <v>19</v>
      </c>
      <c r="I203" s="44">
        <f t="shared" si="16"/>
        <v>269</v>
      </c>
      <c r="J203" s="44">
        <f t="shared" si="17"/>
        <v>0</v>
      </c>
      <c r="K203" s="41"/>
      <c r="L203" s="41">
        <v>1.0</v>
      </c>
      <c r="M203" s="41">
        <v>1.0</v>
      </c>
      <c r="N203" s="41">
        <v>1.0</v>
      </c>
      <c r="O203" s="41">
        <v>1.0</v>
      </c>
      <c r="P203" s="41">
        <v>1.0</v>
      </c>
      <c r="Q203" s="41">
        <v>0.9524</v>
      </c>
      <c r="R203" s="41">
        <v>1.0</v>
      </c>
      <c r="S203" s="41">
        <v>1.0</v>
      </c>
      <c r="T203" s="41">
        <v>1.0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5.75" customHeight="1">
      <c r="A204" s="35" t="s">
        <v>235</v>
      </c>
      <c r="B204" s="35" t="s">
        <v>236</v>
      </c>
      <c r="C204" s="35">
        <v>39.0</v>
      </c>
      <c r="D204" s="35">
        <v>1.5120524067E10</v>
      </c>
      <c r="E204" s="35">
        <v>2.40007052E8</v>
      </c>
      <c r="F204" s="39" t="s">
        <v>459</v>
      </c>
      <c r="G204" s="41" t="str">
        <f t="shared" si="14"/>
        <v>OK</v>
      </c>
      <c r="H204" s="44">
        <f t="shared" si="15"/>
        <v>16</v>
      </c>
      <c r="I204" s="44">
        <f t="shared" si="16"/>
        <v>260</v>
      </c>
      <c r="J204" s="44">
        <f t="shared" si="17"/>
        <v>0</v>
      </c>
      <c r="K204" s="41"/>
      <c r="L204" s="41">
        <v>1.0</v>
      </c>
      <c r="M204" s="41">
        <v>1.0</v>
      </c>
      <c r="N204" s="41">
        <v>0.9091</v>
      </c>
      <c r="O204" s="41">
        <v>0.9091</v>
      </c>
      <c r="P204" s="41">
        <v>1.0</v>
      </c>
      <c r="Q204" s="41">
        <v>1.0</v>
      </c>
      <c r="R204" s="41">
        <v>0.9091</v>
      </c>
      <c r="S204" s="41">
        <v>0.9545</v>
      </c>
      <c r="T204" s="41">
        <v>1.0</v>
      </c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5.75" customHeight="1">
      <c r="A205" s="35" t="s">
        <v>235</v>
      </c>
      <c r="B205" s="35" t="s">
        <v>291</v>
      </c>
      <c r="C205" s="35">
        <v>40.0</v>
      </c>
      <c r="D205" s="35">
        <v>1.5120524014E10</v>
      </c>
      <c r="E205" s="35">
        <v>2.40007053E8</v>
      </c>
      <c r="F205" s="39" t="s">
        <v>461</v>
      </c>
      <c r="G205" s="41" t="str">
        <f t="shared" si="14"/>
        <v>Pending</v>
      </c>
      <c r="H205" s="44">
        <f t="shared" si="15"/>
        <v>-52</v>
      </c>
      <c r="I205" s="44">
        <f t="shared" si="16"/>
        <v>76</v>
      </c>
      <c r="J205" s="44">
        <f t="shared" si="17"/>
        <v>140</v>
      </c>
      <c r="K205" s="41"/>
      <c r="L205" s="41">
        <v>0.5909</v>
      </c>
      <c r="M205" s="41">
        <v>0.4444</v>
      </c>
      <c r="N205" s="41">
        <v>0.6364</v>
      </c>
      <c r="O205" s="41">
        <v>0.1818</v>
      </c>
      <c r="P205" s="41">
        <v>0.2727</v>
      </c>
      <c r="Q205" s="41">
        <v>0.0952</v>
      </c>
      <c r="R205" s="41">
        <v>0.1818</v>
      </c>
      <c r="S205" s="41">
        <v>0.0455</v>
      </c>
      <c r="T205" s="41">
        <v>0.087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5.75" customHeight="1">
      <c r="A206" s="35" t="s">
        <v>235</v>
      </c>
      <c r="B206" s="35" t="s">
        <v>291</v>
      </c>
      <c r="C206" s="35">
        <v>41.0</v>
      </c>
      <c r="D206" s="35">
        <v>1.512052407E10</v>
      </c>
      <c r="E206" s="35">
        <v>2.40007054E8</v>
      </c>
      <c r="F206" s="39" t="s">
        <v>463</v>
      </c>
      <c r="G206" s="41" t="str">
        <f t="shared" si="14"/>
        <v>OK</v>
      </c>
      <c r="H206" s="44">
        <f t="shared" si="15"/>
        <v>15</v>
      </c>
      <c r="I206" s="44">
        <f t="shared" si="16"/>
        <v>258</v>
      </c>
      <c r="J206" s="44">
        <f t="shared" si="17"/>
        <v>0</v>
      </c>
      <c r="K206" s="41"/>
      <c r="L206" s="41">
        <v>1.0</v>
      </c>
      <c r="M206" s="41">
        <v>1.0</v>
      </c>
      <c r="N206" s="41">
        <v>1.0</v>
      </c>
      <c r="O206" s="41">
        <v>1.0</v>
      </c>
      <c r="P206" s="41">
        <v>0.9091</v>
      </c>
      <c r="Q206" s="41">
        <v>0.9048</v>
      </c>
      <c r="R206" s="41">
        <v>0.9545</v>
      </c>
      <c r="S206" s="41">
        <v>0.9545</v>
      </c>
      <c r="T206" s="41">
        <v>0.8696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5.75" customHeight="1">
      <c r="A207" s="35" t="s">
        <v>235</v>
      </c>
      <c r="B207" s="35" t="s">
        <v>291</v>
      </c>
      <c r="C207" s="35">
        <v>42.0</v>
      </c>
      <c r="D207" s="35">
        <v>1.5120524022E10</v>
      </c>
      <c r="E207" s="35">
        <v>2.40007055E8</v>
      </c>
      <c r="F207" s="39" t="s">
        <v>465</v>
      </c>
      <c r="G207" s="41" t="str">
        <f t="shared" si="14"/>
        <v>OK</v>
      </c>
      <c r="H207" s="44">
        <f t="shared" si="15"/>
        <v>9</v>
      </c>
      <c r="I207" s="44">
        <f t="shared" si="16"/>
        <v>240</v>
      </c>
      <c r="J207" s="44">
        <f t="shared" si="17"/>
        <v>0</v>
      </c>
      <c r="K207" s="41"/>
      <c r="L207" s="41">
        <v>1.0</v>
      </c>
      <c r="M207" s="41">
        <v>0.6667</v>
      </c>
      <c r="N207" s="41">
        <v>1.0</v>
      </c>
      <c r="O207" s="41">
        <v>1.0</v>
      </c>
      <c r="P207" s="41">
        <v>0.8636</v>
      </c>
      <c r="Q207" s="41">
        <v>0.9048</v>
      </c>
      <c r="R207" s="41">
        <v>0.8636</v>
      </c>
      <c r="S207" s="41">
        <v>0.9091</v>
      </c>
      <c r="T207" s="41">
        <v>0.7826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5.75" customHeight="1">
      <c r="A208" s="35" t="s">
        <v>235</v>
      </c>
      <c r="B208" s="35" t="s">
        <v>291</v>
      </c>
      <c r="C208" s="35">
        <v>43.0</v>
      </c>
      <c r="D208" s="35">
        <v>1.5120524077E10</v>
      </c>
      <c r="E208" s="35">
        <v>2.40007056E8</v>
      </c>
      <c r="F208" s="39" t="s">
        <v>466</v>
      </c>
      <c r="G208" s="41" t="str">
        <f t="shared" si="14"/>
        <v>Pending</v>
      </c>
      <c r="H208" s="44">
        <f t="shared" si="15"/>
        <v>-25</v>
      </c>
      <c r="I208" s="44">
        <f t="shared" si="16"/>
        <v>147</v>
      </c>
      <c r="J208" s="44">
        <f t="shared" si="17"/>
        <v>69</v>
      </c>
      <c r="K208" s="41"/>
      <c r="L208" s="41">
        <v>0.6364</v>
      </c>
      <c r="M208" s="41">
        <v>0.9444</v>
      </c>
      <c r="N208" s="41">
        <v>0.8182</v>
      </c>
      <c r="O208" s="41">
        <v>0.9545</v>
      </c>
      <c r="P208" s="41">
        <v>0.7727</v>
      </c>
      <c r="Q208" s="41">
        <v>0.0476</v>
      </c>
      <c r="R208" s="41">
        <v>0.0</v>
      </c>
      <c r="S208" s="41">
        <v>0.0455</v>
      </c>
      <c r="T208" s="41">
        <v>0.6957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5.75" customHeight="1">
      <c r="A209" s="35" t="s">
        <v>235</v>
      </c>
      <c r="B209" s="35" t="s">
        <v>291</v>
      </c>
      <c r="C209" s="35">
        <v>44.0</v>
      </c>
      <c r="D209" s="35">
        <v>1.5120524002E10</v>
      </c>
      <c r="E209" s="35">
        <v>2.40007058E8</v>
      </c>
      <c r="F209" s="39" t="s">
        <v>468</v>
      </c>
      <c r="G209" s="41" t="str">
        <f t="shared" si="14"/>
        <v>OK</v>
      </c>
      <c r="H209" s="44">
        <f t="shared" si="15"/>
        <v>12</v>
      </c>
      <c r="I209" s="44">
        <f t="shared" si="16"/>
        <v>248</v>
      </c>
      <c r="J209" s="44">
        <f t="shared" si="17"/>
        <v>0</v>
      </c>
      <c r="K209" s="41"/>
      <c r="L209" s="41">
        <v>1.0</v>
      </c>
      <c r="M209" s="41">
        <v>1.0</v>
      </c>
      <c r="N209" s="41">
        <v>0.8636</v>
      </c>
      <c r="O209" s="41">
        <v>0.9545</v>
      </c>
      <c r="P209" s="41">
        <v>1.0</v>
      </c>
      <c r="Q209" s="41">
        <v>0.7143</v>
      </c>
      <c r="R209" s="41">
        <v>0.9545</v>
      </c>
      <c r="S209" s="41">
        <v>1.0</v>
      </c>
      <c r="T209" s="41">
        <v>0.7826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5.75" customHeight="1">
      <c r="A210" s="35" t="s">
        <v>235</v>
      </c>
      <c r="B210" s="35" t="s">
        <v>291</v>
      </c>
      <c r="C210" s="35">
        <v>45.0</v>
      </c>
      <c r="D210" s="35">
        <v>1.5120524012E10</v>
      </c>
      <c r="E210" s="35">
        <v>2.40007059E8</v>
      </c>
      <c r="F210" s="39" t="s">
        <v>470</v>
      </c>
      <c r="G210" s="41" t="str">
        <f t="shared" si="14"/>
        <v>OK</v>
      </c>
      <c r="H210" s="44">
        <f t="shared" si="15"/>
        <v>19</v>
      </c>
      <c r="I210" s="44">
        <f t="shared" si="16"/>
        <v>269</v>
      </c>
      <c r="J210" s="44">
        <f t="shared" si="17"/>
        <v>0</v>
      </c>
      <c r="K210" s="41"/>
      <c r="L210" s="41">
        <v>1.0</v>
      </c>
      <c r="M210" s="41">
        <v>1.0</v>
      </c>
      <c r="N210" s="41">
        <v>1.0</v>
      </c>
      <c r="O210" s="41">
        <v>1.0</v>
      </c>
      <c r="P210" s="41">
        <v>0.9545</v>
      </c>
      <c r="Q210" s="41">
        <v>1.0</v>
      </c>
      <c r="R210" s="41">
        <v>1.0</v>
      </c>
      <c r="S210" s="41">
        <v>1.0</v>
      </c>
      <c r="T210" s="41">
        <v>1.0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35" t="s">
        <v>235</v>
      </c>
      <c r="B211" s="35" t="s">
        <v>291</v>
      </c>
      <c r="C211" s="35">
        <v>46.0</v>
      </c>
      <c r="D211" s="35">
        <v>1.5120524064E10</v>
      </c>
      <c r="E211" s="35">
        <v>2.40007061E8</v>
      </c>
      <c r="F211" s="39" t="s">
        <v>472</v>
      </c>
      <c r="G211" s="41" t="str">
        <f t="shared" si="14"/>
        <v>OK</v>
      </c>
      <c r="H211" s="44">
        <f t="shared" si="15"/>
        <v>20</v>
      </c>
      <c r="I211" s="44">
        <f t="shared" si="16"/>
        <v>270</v>
      </c>
      <c r="J211" s="44">
        <f t="shared" si="17"/>
        <v>0</v>
      </c>
      <c r="K211" s="41"/>
      <c r="L211" s="41">
        <v>1.0</v>
      </c>
      <c r="M211" s="41">
        <v>1.0</v>
      </c>
      <c r="N211" s="41">
        <v>1.0</v>
      </c>
      <c r="O211" s="41">
        <v>1.0</v>
      </c>
      <c r="P211" s="41">
        <v>1.0</v>
      </c>
      <c r="Q211" s="41">
        <v>1.0</v>
      </c>
      <c r="R211" s="41">
        <v>1.0</v>
      </c>
      <c r="S211" s="41">
        <v>1.0</v>
      </c>
      <c r="T211" s="41">
        <v>1.0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5.75" customHeight="1">
      <c r="A212" s="35" t="s">
        <v>235</v>
      </c>
      <c r="B212" s="35" t="s">
        <v>291</v>
      </c>
      <c r="C212" s="35">
        <v>47.0</v>
      </c>
      <c r="D212" s="35">
        <v>1.5120524034E10</v>
      </c>
      <c r="E212" s="35">
        <v>2.40007063E8</v>
      </c>
      <c r="F212" s="39" t="s">
        <v>474</v>
      </c>
      <c r="G212" s="41" t="str">
        <f t="shared" si="14"/>
        <v>OK</v>
      </c>
      <c r="H212" s="44">
        <f t="shared" si="15"/>
        <v>5</v>
      </c>
      <c r="I212" s="44">
        <f t="shared" si="16"/>
        <v>228</v>
      </c>
      <c r="J212" s="44">
        <f t="shared" si="17"/>
        <v>0</v>
      </c>
      <c r="K212" s="41"/>
      <c r="L212" s="41">
        <v>0.8182</v>
      </c>
      <c r="M212" s="41">
        <v>0.9444</v>
      </c>
      <c r="N212" s="41">
        <v>0.8182</v>
      </c>
      <c r="O212" s="41">
        <v>1.0</v>
      </c>
      <c r="P212" s="41">
        <v>1.0</v>
      </c>
      <c r="Q212" s="41">
        <v>0.5714</v>
      </c>
      <c r="R212" s="41">
        <v>0.8636</v>
      </c>
      <c r="S212" s="41">
        <v>0.7273</v>
      </c>
      <c r="T212" s="41">
        <v>0.8696</v>
      </c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5.75" customHeight="1">
      <c r="A213" s="35" t="s">
        <v>235</v>
      </c>
      <c r="B213" s="35" t="s">
        <v>291</v>
      </c>
      <c r="C213" s="35">
        <v>48.0</v>
      </c>
      <c r="D213" s="35">
        <v>1.5120524051E10</v>
      </c>
      <c r="E213" s="35">
        <v>2.40007064E8</v>
      </c>
      <c r="F213" s="39" t="s">
        <v>476</v>
      </c>
      <c r="G213" s="41" t="str">
        <f t="shared" si="14"/>
        <v>Pending</v>
      </c>
      <c r="H213" s="44">
        <f t="shared" si="15"/>
        <v>-5</v>
      </c>
      <c r="I213" s="44">
        <f t="shared" si="16"/>
        <v>203</v>
      </c>
      <c r="J213" s="44">
        <f t="shared" si="17"/>
        <v>13</v>
      </c>
      <c r="K213" s="41"/>
      <c r="L213" s="41">
        <v>0.0455</v>
      </c>
      <c r="M213" s="41">
        <v>1.0</v>
      </c>
      <c r="N213" s="41">
        <v>1.0</v>
      </c>
      <c r="O213" s="41">
        <v>1.0</v>
      </c>
      <c r="P213" s="41">
        <v>0.9545</v>
      </c>
      <c r="Q213" s="41">
        <v>0.9048</v>
      </c>
      <c r="R213" s="41">
        <v>0.9545</v>
      </c>
      <c r="S213" s="41">
        <v>0.0455</v>
      </c>
      <c r="T213" s="41">
        <v>0.8696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5.75" customHeight="1">
      <c r="A214" s="35" t="s">
        <v>235</v>
      </c>
      <c r="B214" s="35" t="s">
        <v>291</v>
      </c>
      <c r="C214" s="35">
        <v>49.0</v>
      </c>
      <c r="D214" s="35">
        <v>1.5120524018E10</v>
      </c>
      <c r="E214" s="35">
        <v>2.40007065E8</v>
      </c>
      <c r="F214" s="39" t="s">
        <v>478</v>
      </c>
      <c r="G214" s="41" t="str">
        <f t="shared" si="14"/>
        <v>Pending</v>
      </c>
      <c r="H214" s="44">
        <f t="shared" si="15"/>
        <v>-14</v>
      </c>
      <c r="I214" s="44">
        <f t="shared" si="16"/>
        <v>179</v>
      </c>
      <c r="J214" s="44">
        <f t="shared" si="17"/>
        <v>37</v>
      </c>
      <c r="K214" s="41"/>
      <c r="L214" s="41">
        <v>0.8636</v>
      </c>
      <c r="M214" s="41">
        <v>0.3889</v>
      </c>
      <c r="N214" s="41">
        <v>0.7727</v>
      </c>
      <c r="O214" s="41">
        <v>0.6818</v>
      </c>
      <c r="P214" s="41">
        <v>0.6364</v>
      </c>
      <c r="Q214" s="41">
        <v>0.5714</v>
      </c>
      <c r="R214" s="41">
        <v>0.7727</v>
      </c>
      <c r="S214" s="41">
        <v>0.7273</v>
      </c>
      <c r="T214" s="41">
        <v>0.5652</v>
      </c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5.75" customHeight="1">
      <c r="A215" s="35" t="s">
        <v>235</v>
      </c>
      <c r="B215" s="35" t="s">
        <v>291</v>
      </c>
      <c r="C215" s="35">
        <v>50.0</v>
      </c>
      <c r="D215" s="35">
        <v>1.5120524016E10</v>
      </c>
      <c r="E215" s="35">
        <v>2.40007066E8</v>
      </c>
      <c r="F215" s="39" t="s">
        <v>480</v>
      </c>
      <c r="G215" s="41" t="str">
        <f t="shared" si="14"/>
        <v>Pending</v>
      </c>
      <c r="H215" s="44">
        <f t="shared" si="15"/>
        <v>-32</v>
      </c>
      <c r="I215" s="44">
        <f t="shared" si="16"/>
        <v>129</v>
      </c>
      <c r="J215" s="44">
        <f t="shared" si="17"/>
        <v>87</v>
      </c>
      <c r="K215" s="41"/>
      <c r="L215" s="41">
        <v>0.0</v>
      </c>
      <c r="M215" s="41">
        <v>0.0</v>
      </c>
      <c r="N215" s="41">
        <v>0.0</v>
      </c>
      <c r="O215" s="41">
        <v>0.5455</v>
      </c>
      <c r="P215" s="41">
        <v>0.6818</v>
      </c>
      <c r="Q215" s="41">
        <v>0.4762</v>
      </c>
      <c r="R215" s="41">
        <v>0.7727</v>
      </c>
      <c r="S215" s="41">
        <v>0.8636</v>
      </c>
      <c r="T215" s="41">
        <v>0.9565</v>
      </c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5.75" customHeight="1">
      <c r="A216" s="35" t="s">
        <v>235</v>
      </c>
      <c r="B216" s="35" t="s">
        <v>291</v>
      </c>
      <c r="C216" s="35">
        <v>51.0</v>
      </c>
      <c r="D216" s="35">
        <v>1.5120524019E10</v>
      </c>
      <c r="E216" s="35">
        <v>2.40007067E8</v>
      </c>
      <c r="F216" s="39" t="s">
        <v>481</v>
      </c>
      <c r="G216" s="41" t="str">
        <f t="shared" si="14"/>
        <v>OK</v>
      </c>
      <c r="H216" s="44">
        <f t="shared" si="15"/>
        <v>9</v>
      </c>
      <c r="I216" s="44">
        <f t="shared" si="16"/>
        <v>240</v>
      </c>
      <c r="J216" s="44">
        <f t="shared" si="17"/>
        <v>0</v>
      </c>
      <c r="K216" s="41"/>
      <c r="L216" s="41">
        <v>0.0909</v>
      </c>
      <c r="M216" s="41">
        <v>1.0</v>
      </c>
      <c r="N216" s="41">
        <v>0.9545</v>
      </c>
      <c r="O216" s="41">
        <v>1.0</v>
      </c>
      <c r="P216" s="41">
        <v>1.0</v>
      </c>
      <c r="Q216" s="41">
        <v>1.0</v>
      </c>
      <c r="R216" s="41">
        <v>1.0</v>
      </c>
      <c r="S216" s="41">
        <v>1.0</v>
      </c>
      <c r="T216" s="41">
        <v>0.9565</v>
      </c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5.75" customHeight="1">
      <c r="A217" s="35" t="s">
        <v>235</v>
      </c>
      <c r="B217" s="35" t="s">
        <v>291</v>
      </c>
      <c r="C217" s="35">
        <v>52.0</v>
      </c>
      <c r="D217" s="35">
        <v>1.5120524075E10</v>
      </c>
      <c r="E217" s="35">
        <v>2.40007068E8</v>
      </c>
      <c r="F217" s="39" t="s">
        <v>483</v>
      </c>
      <c r="G217" s="41" t="str">
        <f t="shared" si="14"/>
        <v>OK</v>
      </c>
      <c r="H217" s="44">
        <f t="shared" si="15"/>
        <v>0</v>
      </c>
      <c r="I217" s="44">
        <f t="shared" si="16"/>
        <v>216</v>
      </c>
      <c r="J217" s="44">
        <f t="shared" si="17"/>
        <v>0</v>
      </c>
      <c r="K217" s="41"/>
      <c r="L217" s="41">
        <v>0.3636</v>
      </c>
      <c r="M217" s="41">
        <v>0.8889</v>
      </c>
      <c r="N217" s="41">
        <v>0.9091</v>
      </c>
      <c r="O217" s="41">
        <v>1.0</v>
      </c>
      <c r="P217" s="41">
        <v>0.8636</v>
      </c>
      <c r="Q217" s="41">
        <v>0.5238</v>
      </c>
      <c r="R217" s="41">
        <v>0.9545</v>
      </c>
      <c r="S217" s="41">
        <v>0.8636</v>
      </c>
      <c r="T217" s="41">
        <v>0.8261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5.75" customHeight="1">
      <c r="A218" s="35" t="s">
        <v>235</v>
      </c>
      <c r="B218" s="35" t="s">
        <v>291</v>
      </c>
      <c r="C218" s="35">
        <v>53.0</v>
      </c>
      <c r="D218" s="35">
        <v>1.5120524071E10</v>
      </c>
      <c r="E218" s="35">
        <v>2.40007069E8</v>
      </c>
      <c r="F218" s="39" t="s">
        <v>485</v>
      </c>
      <c r="G218" s="41" t="str">
        <f t="shared" si="14"/>
        <v>Pending</v>
      </c>
      <c r="H218" s="44">
        <f t="shared" si="15"/>
        <v>-18</v>
      </c>
      <c r="I218" s="44">
        <f t="shared" si="16"/>
        <v>166</v>
      </c>
      <c r="J218" s="44">
        <f t="shared" si="17"/>
        <v>50</v>
      </c>
      <c r="K218" s="41"/>
      <c r="L218" s="41">
        <v>0.8636</v>
      </c>
      <c r="M218" s="41">
        <v>0.5</v>
      </c>
      <c r="N218" s="41">
        <v>0.7727</v>
      </c>
      <c r="O218" s="41">
        <v>0.6364</v>
      </c>
      <c r="P218" s="41">
        <v>0.4545</v>
      </c>
      <c r="Q218" s="41">
        <v>0.5714</v>
      </c>
      <c r="R218" s="41">
        <v>0.6364</v>
      </c>
      <c r="S218" s="41">
        <v>0.5455</v>
      </c>
      <c r="T218" s="41">
        <v>0.5652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5.75" customHeight="1">
      <c r="A219" s="35" t="s">
        <v>235</v>
      </c>
      <c r="B219" s="35" t="s">
        <v>291</v>
      </c>
      <c r="C219" s="35">
        <v>54.0</v>
      </c>
      <c r="D219" s="35">
        <v>1.512052403E10</v>
      </c>
      <c r="E219" s="35">
        <v>2.40007071E8</v>
      </c>
      <c r="F219" s="39" t="s">
        <v>487</v>
      </c>
      <c r="G219" s="41" t="str">
        <f t="shared" si="14"/>
        <v>OK</v>
      </c>
      <c r="H219" s="44">
        <f t="shared" si="15"/>
        <v>2</v>
      </c>
      <c r="I219" s="44">
        <f t="shared" si="16"/>
        <v>221</v>
      </c>
      <c r="J219" s="44">
        <f t="shared" si="17"/>
        <v>0</v>
      </c>
      <c r="K219" s="41"/>
      <c r="L219" s="41">
        <v>1.0</v>
      </c>
      <c r="M219" s="41">
        <v>0.6111</v>
      </c>
      <c r="N219" s="41">
        <v>0.7273</v>
      </c>
      <c r="O219" s="41">
        <v>0.9545</v>
      </c>
      <c r="P219" s="41">
        <v>0.9091</v>
      </c>
      <c r="Q219" s="41">
        <v>0.7619</v>
      </c>
      <c r="R219" s="41">
        <v>0.8636</v>
      </c>
      <c r="S219" s="41">
        <v>0.7727</v>
      </c>
      <c r="T219" s="41">
        <v>0.7826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customHeight="1">
      <c r="A220" s="35" t="s">
        <v>235</v>
      </c>
      <c r="B220" s="35" t="s">
        <v>291</v>
      </c>
      <c r="C220" s="35">
        <v>55.0</v>
      </c>
      <c r="D220" s="35">
        <v>1.5120525121E10</v>
      </c>
      <c r="E220" s="35">
        <v>2.51007002E8</v>
      </c>
      <c r="F220" s="39" t="s">
        <v>489</v>
      </c>
      <c r="G220" s="41" t="str">
        <f t="shared" si="14"/>
        <v>OK</v>
      </c>
      <c r="H220" s="44">
        <f t="shared" si="15"/>
        <v>19</v>
      </c>
      <c r="I220" s="44">
        <f t="shared" si="16"/>
        <v>266</v>
      </c>
      <c r="J220" s="44">
        <f t="shared" si="17"/>
        <v>0</v>
      </c>
      <c r="K220" s="41"/>
      <c r="L220" s="41">
        <v>0.9091</v>
      </c>
      <c r="M220" s="41">
        <v>1.0</v>
      </c>
      <c r="N220" s="41">
        <v>1.0</v>
      </c>
      <c r="O220" s="41">
        <v>1.0</v>
      </c>
      <c r="P220" s="41">
        <v>1.0</v>
      </c>
      <c r="Q220" s="41">
        <v>1.0</v>
      </c>
      <c r="R220" s="41">
        <v>1.0</v>
      </c>
      <c r="S220" s="41">
        <v>1.0</v>
      </c>
      <c r="T220" s="41">
        <v>0.9565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customHeight="1">
      <c r="A221" s="35" t="s">
        <v>235</v>
      </c>
      <c r="B221" s="35" t="s">
        <v>291</v>
      </c>
      <c r="C221" s="35">
        <v>56.0</v>
      </c>
      <c r="D221" s="35">
        <v>1.5120525114E10</v>
      </c>
      <c r="E221" s="35">
        <v>2.51007004E8</v>
      </c>
      <c r="F221" s="39" t="s">
        <v>491</v>
      </c>
      <c r="G221" s="41" t="str">
        <f t="shared" si="14"/>
        <v>Pending</v>
      </c>
      <c r="H221" s="44">
        <f t="shared" si="15"/>
        <v>-12</v>
      </c>
      <c r="I221" s="44">
        <f t="shared" si="16"/>
        <v>185</v>
      </c>
      <c r="J221" s="44">
        <f t="shared" si="17"/>
        <v>31</v>
      </c>
      <c r="K221" s="41"/>
      <c r="L221" s="41">
        <v>0.5909</v>
      </c>
      <c r="M221" s="41">
        <v>0.4444</v>
      </c>
      <c r="N221" s="41">
        <v>0.5909</v>
      </c>
      <c r="O221" s="41">
        <v>0.1818</v>
      </c>
      <c r="P221" s="41">
        <v>1.0</v>
      </c>
      <c r="Q221" s="41">
        <v>0.619</v>
      </c>
      <c r="R221" s="41">
        <v>1.0</v>
      </c>
      <c r="S221" s="41">
        <v>0.7727</v>
      </c>
      <c r="T221" s="41">
        <v>0.9565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customHeight="1">
      <c r="A222" s="28" t="s">
        <v>6</v>
      </c>
      <c r="B222" s="28" t="s">
        <v>7</v>
      </c>
      <c r="C222" s="28" t="s">
        <v>8</v>
      </c>
      <c r="D222" s="28" t="s">
        <v>9</v>
      </c>
      <c r="E222" s="28" t="s">
        <v>10</v>
      </c>
      <c r="F222" s="28"/>
      <c r="G222" s="41"/>
      <c r="H222" s="44"/>
      <c r="I222" s="44"/>
      <c r="J222" s="44"/>
      <c r="K222" s="38"/>
      <c r="L222" s="38"/>
      <c r="M222" s="38"/>
      <c r="N222" s="38"/>
      <c r="O222" s="38"/>
      <c r="P222" s="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customHeight="1">
      <c r="A223" s="35" t="s">
        <v>32</v>
      </c>
      <c r="B223" s="35" t="s">
        <v>34</v>
      </c>
      <c r="C223" s="35">
        <v>51.0</v>
      </c>
      <c r="D223" s="35">
        <v>1.5120524047E10</v>
      </c>
      <c r="E223" s="35">
        <v>2.4000701E8</v>
      </c>
      <c r="F223" s="39" t="s">
        <v>493</v>
      </c>
      <c r="G223" s="41" t="str">
        <f t="shared" ref="G223:G233" si="18">IF(H223&gt;=0,"OK",IF(K223&gt;=J223,"Completed","Pending"))</f>
        <v>Pending</v>
      </c>
      <c r="H223" s="44">
        <f t="shared" ref="H223:H233" si="19">round((((((L223*100)*$L$5)+((M223*100)*$M$5)+((N223*100)*$N$5)+((O223*100)*$O$5)+((P223*100)*$P$5)+((Q223*100)*$Q$5)+((R223*100)*$R$5)+((S223*100)*$S$5)+((T223*100)*$T$5)+((U223*100)*$U$5)+((V223*100)*$V$5)+((W223*100)*$W$5)+((X223*100)*$X$5)+((Y223*100)*$Y$5)+((Z223*100)*$Z$5)++((W223*100)*$W$5)+((AA223*100)*$AA$5))/($L$5+$M$5+$N$5+$O$5+$P$5+$Q$5+$R$5+$S$5+$T$5+$V$5+$U$5+$W$5+$X$5+$Y$5+$Z$5+$AA$5))-80),0)</f>
        <v>-8</v>
      </c>
      <c r="I223" s="44">
        <f t="shared" ref="I223:I233" si="20">round(30*((L223*$L$5)+(M223*$M$5)+(N223*$N$5)+(O223*$O$5)+(P223*$P$5)+(Q223*$Q$5)+(R223*$R$5)+(S223*$S$5)+(T223*$T$5)+(U223*$U$5)+(V223*$V$5)+(W223*$W$5)+(X223*$X$5)+(Y223*$Y$5)+(Z223*$Z$5)+(AA223*$AA$5)),0)</f>
        <v>193</v>
      </c>
      <c r="J223" s="44">
        <f t="shared" ref="J223:J233" si="21">if(I223&lt;(24*($L$5+$M$5+$N$5+$O$5+$P$5+$Q$5+$R$5+$S$5+$T$5+$V$5+$U$5+$W$5+$X$5+$Y$5+$Z$5+$AA$5)),abs(I223-(24*($L$5+$M$5+$N$5+$O$5+$P$5+$Q$5+$R$5+$S$5+$T$5+$V$5+$U$5+$W$5+$X$5+$Y$5+$Z$5+$AA$5))),0)</f>
        <v>23</v>
      </c>
      <c r="K223" s="41"/>
      <c r="L223" s="41">
        <v>0.6667</v>
      </c>
      <c r="M223" s="41">
        <v>0.9524</v>
      </c>
      <c r="N223" s="41">
        <v>0.4545</v>
      </c>
      <c r="O223" s="41">
        <v>0.9091</v>
      </c>
      <c r="P223" s="41">
        <v>0.8636</v>
      </c>
      <c r="Q223" s="41">
        <v>0.6818</v>
      </c>
      <c r="R223" s="41">
        <v>0.8182</v>
      </c>
      <c r="S223" s="41">
        <v>0.7273</v>
      </c>
      <c r="T223" s="41">
        <v>0.3636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customHeight="1">
      <c r="A224" s="35" t="s">
        <v>32</v>
      </c>
      <c r="B224" s="35" t="s">
        <v>34</v>
      </c>
      <c r="C224" s="35">
        <v>52.0</v>
      </c>
      <c r="D224" s="35">
        <v>1.5120524073E10</v>
      </c>
      <c r="E224" s="35">
        <v>2.40007011E8</v>
      </c>
      <c r="F224" s="39" t="s">
        <v>500</v>
      </c>
      <c r="G224" s="41" t="str">
        <f t="shared" si="18"/>
        <v>OK</v>
      </c>
      <c r="H224" s="44">
        <f t="shared" si="19"/>
        <v>7</v>
      </c>
      <c r="I224" s="44">
        <f t="shared" si="20"/>
        <v>236</v>
      </c>
      <c r="J224" s="44">
        <f t="shared" si="21"/>
        <v>0</v>
      </c>
      <c r="K224" s="41"/>
      <c r="L224" s="41">
        <v>0.0476</v>
      </c>
      <c r="M224" s="41">
        <v>1.0</v>
      </c>
      <c r="N224" s="41">
        <v>1.0</v>
      </c>
      <c r="O224" s="41">
        <v>1.0</v>
      </c>
      <c r="P224" s="41">
        <v>0.9545</v>
      </c>
      <c r="Q224" s="41">
        <v>1.0</v>
      </c>
      <c r="R224" s="41">
        <v>1.0</v>
      </c>
      <c r="S224" s="41">
        <v>1.0</v>
      </c>
      <c r="T224" s="41">
        <v>0.8636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customHeight="1">
      <c r="A225" s="35" t="s">
        <v>32</v>
      </c>
      <c r="B225" s="35" t="s">
        <v>34</v>
      </c>
      <c r="C225" s="35">
        <v>53.0</v>
      </c>
      <c r="D225" s="35">
        <v>1.5120524023E10</v>
      </c>
      <c r="E225" s="35">
        <v>2.40007024E8</v>
      </c>
      <c r="F225" s="39" t="s">
        <v>502</v>
      </c>
      <c r="G225" s="41" t="str">
        <f t="shared" si="18"/>
        <v>OK</v>
      </c>
      <c r="H225" s="44">
        <f t="shared" si="19"/>
        <v>17</v>
      </c>
      <c r="I225" s="44">
        <f t="shared" si="20"/>
        <v>262</v>
      </c>
      <c r="J225" s="44">
        <f t="shared" si="21"/>
        <v>0</v>
      </c>
      <c r="K225" s="41"/>
      <c r="L225" s="41">
        <v>0.9524</v>
      </c>
      <c r="M225" s="41">
        <v>0.9524</v>
      </c>
      <c r="N225" s="41">
        <v>0.9545</v>
      </c>
      <c r="O225" s="41">
        <v>1.0</v>
      </c>
      <c r="P225" s="41">
        <v>1.0</v>
      </c>
      <c r="Q225" s="41">
        <v>1.0</v>
      </c>
      <c r="R225" s="41">
        <v>0.9545</v>
      </c>
      <c r="S225" s="41">
        <v>0.9545</v>
      </c>
      <c r="T225" s="41">
        <v>0.9545</v>
      </c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customHeight="1">
      <c r="A226" s="35" t="s">
        <v>32</v>
      </c>
      <c r="B226" s="35" t="s">
        <v>34</v>
      </c>
      <c r="C226" s="35">
        <v>54.0</v>
      </c>
      <c r="D226" s="35">
        <v>1.5120524035E10</v>
      </c>
      <c r="E226" s="35">
        <v>2.40007037E8</v>
      </c>
      <c r="F226" s="39" t="s">
        <v>504</v>
      </c>
      <c r="G226" s="41" t="str">
        <f t="shared" si="18"/>
        <v>OK</v>
      </c>
      <c r="H226" s="44">
        <f t="shared" si="19"/>
        <v>4</v>
      </c>
      <c r="I226" s="44">
        <f t="shared" si="20"/>
        <v>227</v>
      </c>
      <c r="J226" s="44">
        <f t="shared" si="21"/>
        <v>0</v>
      </c>
      <c r="K226" s="41"/>
      <c r="L226" s="41">
        <v>0.1429</v>
      </c>
      <c r="M226" s="41">
        <v>1.0</v>
      </c>
      <c r="N226" s="41">
        <v>1.0</v>
      </c>
      <c r="O226" s="41">
        <v>0.9545</v>
      </c>
      <c r="P226" s="41">
        <v>0.8182</v>
      </c>
      <c r="Q226" s="41">
        <v>0.8636</v>
      </c>
      <c r="R226" s="41">
        <v>0.9091</v>
      </c>
      <c r="S226" s="41">
        <v>0.9545</v>
      </c>
      <c r="T226" s="41">
        <v>0.9091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customHeight="1">
      <c r="A227" s="35" t="s">
        <v>32</v>
      </c>
      <c r="B227" s="35" t="s">
        <v>34</v>
      </c>
      <c r="C227" s="35">
        <v>55.0</v>
      </c>
      <c r="D227" s="35">
        <v>1.5120524043E10</v>
      </c>
      <c r="E227" s="35">
        <v>2.40007047E8</v>
      </c>
      <c r="F227" s="39" t="s">
        <v>506</v>
      </c>
      <c r="G227" s="41" t="str">
        <f t="shared" si="18"/>
        <v>Pending</v>
      </c>
      <c r="H227" s="44">
        <f t="shared" si="19"/>
        <v>-6</v>
      </c>
      <c r="I227" s="44">
        <f t="shared" si="20"/>
        <v>200</v>
      </c>
      <c r="J227" s="44">
        <f t="shared" si="21"/>
        <v>16</v>
      </c>
      <c r="K227" s="41"/>
      <c r="L227" s="41">
        <v>0.5714</v>
      </c>
      <c r="M227" s="41">
        <v>1.0</v>
      </c>
      <c r="N227" s="41">
        <v>0.6364</v>
      </c>
      <c r="O227" s="41">
        <v>0.9091</v>
      </c>
      <c r="P227" s="41">
        <v>0.7273</v>
      </c>
      <c r="Q227" s="41">
        <v>0.7727</v>
      </c>
      <c r="R227" s="41">
        <v>0.8182</v>
      </c>
      <c r="S227" s="41">
        <v>0.4091</v>
      </c>
      <c r="T227" s="41">
        <v>0.8182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customHeight="1">
      <c r="A228" s="35" t="s">
        <v>32</v>
      </c>
      <c r="B228" s="35" t="s">
        <v>34</v>
      </c>
      <c r="C228" s="35">
        <v>56.0</v>
      </c>
      <c r="D228" s="35">
        <v>1.5120524046E10</v>
      </c>
      <c r="E228" s="35">
        <v>2.4000705E8</v>
      </c>
      <c r="F228" s="39" t="s">
        <v>507</v>
      </c>
      <c r="G228" s="41" t="str">
        <f t="shared" si="18"/>
        <v>OK</v>
      </c>
      <c r="H228" s="44">
        <f t="shared" si="19"/>
        <v>13</v>
      </c>
      <c r="I228" s="44">
        <f t="shared" si="20"/>
        <v>251</v>
      </c>
      <c r="J228" s="44">
        <f t="shared" si="21"/>
        <v>0</v>
      </c>
      <c r="K228" s="41"/>
      <c r="L228" s="41">
        <v>0.7619</v>
      </c>
      <c r="M228" s="41">
        <v>1.0</v>
      </c>
      <c r="N228" s="41">
        <v>0.7273</v>
      </c>
      <c r="O228" s="41">
        <v>0.9545</v>
      </c>
      <c r="P228" s="41">
        <v>1.0</v>
      </c>
      <c r="Q228" s="41">
        <v>1.0</v>
      </c>
      <c r="R228" s="41">
        <v>0.9091</v>
      </c>
      <c r="S228" s="41">
        <v>1.0</v>
      </c>
      <c r="T228" s="41">
        <v>1.0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customHeight="1">
      <c r="A229" s="35" t="s">
        <v>32</v>
      </c>
      <c r="B229" s="35" t="s">
        <v>34</v>
      </c>
      <c r="C229" s="35">
        <v>57.0</v>
      </c>
      <c r="D229" s="35">
        <v>1.5120524039E10</v>
      </c>
      <c r="E229" s="35">
        <v>2.40007057E8</v>
      </c>
      <c r="F229" s="39" t="s">
        <v>510</v>
      </c>
      <c r="G229" s="41" t="str">
        <f t="shared" si="18"/>
        <v>OK</v>
      </c>
      <c r="H229" s="44">
        <f t="shared" si="19"/>
        <v>5</v>
      </c>
      <c r="I229" s="44">
        <f t="shared" si="20"/>
        <v>230</v>
      </c>
      <c r="J229" s="44">
        <f t="shared" si="21"/>
        <v>0</v>
      </c>
      <c r="K229" s="41"/>
      <c r="L229" s="41">
        <v>0.5714</v>
      </c>
      <c r="M229" s="41">
        <v>0.9048</v>
      </c>
      <c r="N229" s="41">
        <v>0.8182</v>
      </c>
      <c r="O229" s="41">
        <v>0.9545</v>
      </c>
      <c r="P229" s="41">
        <v>0.9545</v>
      </c>
      <c r="Q229" s="41">
        <v>0.8636</v>
      </c>
      <c r="R229" s="41">
        <v>0.8636</v>
      </c>
      <c r="S229" s="41">
        <v>0.8636</v>
      </c>
      <c r="T229" s="41">
        <v>0.8636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customHeight="1">
      <c r="A230" s="35" t="s">
        <v>32</v>
      </c>
      <c r="B230" s="35" t="s">
        <v>34</v>
      </c>
      <c r="C230" s="35">
        <v>58.0</v>
      </c>
      <c r="D230" s="35">
        <v>1.5120524069E10</v>
      </c>
      <c r="E230" s="35">
        <v>2.4000707E8</v>
      </c>
      <c r="F230" s="39" t="s">
        <v>511</v>
      </c>
      <c r="G230" s="41" t="str">
        <f t="shared" si="18"/>
        <v>OK</v>
      </c>
      <c r="H230" s="44">
        <f t="shared" si="19"/>
        <v>5</v>
      </c>
      <c r="I230" s="44">
        <f t="shared" si="20"/>
        <v>230</v>
      </c>
      <c r="J230" s="44">
        <f t="shared" si="21"/>
        <v>0</v>
      </c>
      <c r="K230" s="41"/>
      <c r="L230" s="41">
        <v>0.5714</v>
      </c>
      <c r="M230" s="41">
        <v>1.0</v>
      </c>
      <c r="N230" s="41">
        <v>0.9091</v>
      </c>
      <c r="O230" s="41">
        <v>0.7727</v>
      </c>
      <c r="P230" s="41">
        <v>0.9091</v>
      </c>
      <c r="Q230" s="41">
        <v>0.9091</v>
      </c>
      <c r="R230" s="41">
        <v>0.8636</v>
      </c>
      <c r="S230" s="41">
        <v>1.0</v>
      </c>
      <c r="T230" s="41">
        <v>0.7273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customHeight="1">
      <c r="A231" s="35" t="s">
        <v>32</v>
      </c>
      <c r="B231" s="35" t="s">
        <v>34</v>
      </c>
      <c r="C231" s="35">
        <v>59.0</v>
      </c>
      <c r="D231" s="35">
        <v>1.5120525111E10</v>
      </c>
      <c r="E231" s="35">
        <v>2.51007001E8</v>
      </c>
      <c r="F231" s="39" t="s">
        <v>512</v>
      </c>
      <c r="G231" s="41" t="str">
        <f t="shared" si="18"/>
        <v>Pending</v>
      </c>
      <c r="H231" s="44">
        <f t="shared" si="19"/>
        <v>-8</v>
      </c>
      <c r="I231" s="44">
        <f t="shared" si="20"/>
        <v>195</v>
      </c>
      <c r="J231" s="44">
        <f t="shared" si="21"/>
        <v>21</v>
      </c>
      <c r="K231" s="41"/>
      <c r="L231" s="41">
        <v>0.5714</v>
      </c>
      <c r="M231" s="41">
        <v>0.7143</v>
      </c>
      <c r="N231" s="41">
        <v>0.5</v>
      </c>
      <c r="O231" s="41">
        <v>0.3636</v>
      </c>
      <c r="P231" s="41">
        <v>1.0</v>
      </c>
      <c r="Q231" s="41">
        <v>0.7727</v>
      </c>
      <c r="R231" s="41">
        <v>1.0</v>
      </c>
      <c r="S231" s="41">
        <v>0.7273</v>
      </c>
      <c r="T231" s="41">
        <v>0.8636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customHeight="1">
      <c r="A232" s="35" t="s">
        <v>32</v>
      </c>
      <c r="B232" s="35" t="s">
        <v>34</v>
      </c>
      <c r="C232" s="35">
        <v>60.0</v>
      </c>
      <c r="D232" s="35">
        <v>1.5120525127E10</v>
      </c>
      <c r="E232" s="35">
        <v>2.51007003E8</v>
      </c>
      <c r="F232" s="39" t="s">
        <v>513</v>
      </c>
      <c r="G232" s="41" t="str">
        <f t="shared" si="18"/>
        <v>Pending</v>
      </c>
      <c r="H232" s="44">
        <f t="shared" si="19"/>
        <v>-32</v>
      </c>
      <c r="I232" s="44">
        <f t="shared" si="20"/>
        <v>130</v>
      </c>
      <c r="J232" s="44">
        <f t="shared" si="21"/>
        <v>86</v>
      </c>
      <c r="K232" s="41"/>
      <c r="L232" s="41">
        <v>0.2381</v>
      </c>
      <c r="M232" s="41">
        <v>0.381</v>
      </c>
      <c r="N232" s="41">
        <v>0.5455</v>
      </c>
      <c r="O232" s="41">
        <v>0.5909</v>
      </c>
      <c r="P232" s="41">
        <v>0.3182</v>
      </c>
      <c r="Q232" s="41">
        <v>0.1364</v>
      </c>
      <c r="R232" s="41">
        <v>0.9545</v>
      </c>
      <c r="S232" s="41">
        <v>0.5</v>
      </c>
      <c r="T232" s="41">
        <v>0.6818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75"/>
      <c r="B233" s="76"/>
      <c r="C233" s="76"/>
      <c r="D233" s="76"/>
      <c r="E233" s="76"/>
      <c r="F233" s="76">
        <f>COUNTA(F166:F232)</f>
        <v>66</v>
      </c>
      <c r="G233" s="41" t="str">
        <f t="shared" si="18"/>
        <v>OK</v>
      </c>
      <c r="H233" s="44">
        <f t="shared" si="19"/>
        <v>2</v>
      </c>
      <c r="I233" s="44">
        <f t="shared" si="20"/>
        <v>221</v>
      </c>
      <c r="J233" s="44">
        <f t="shared" si="21"/>
        <v>0</v>
      </c>
      <c r="K233" s="41"/>
      <c r="L233" s="77">
        <f t="shared" ref="L233:AA233" si="22">SUM(L166:L232)/$F$233</f>
        <v>0.7039257576</v>
      </c>
      <c r="M233" s="77">
        <f t="shared" si="22"/>
        <v>0.8445136364</v>
      </c>
      <c r="N233" s="77">
        <f t="shared" si="22"/>
        <v>0.8243818182</v>
      </c>
      <c r="O233" s="77">
        <f t="shared" si="22"/>
        <v>0.8794727273</v>
      </c>
      <c r="P233" s="77">
        <f t="shared" si="22"/>
        <v>0.8532984848</v>
      </c>
      <c r="Q233" s="77">
        <f t="shared" si="22"/>
        <v>0.7958136364</v>
      </c>
      <c r="R233" s="77">
        <f t="shared" si="22"/>
        <v>0.8581151515</v>
      </c>
      <c r="S233" s="77">
        <f t="shared" si="22"/>
        <v>0.7920075758</v>
      </c>
      <c r="T233" s="77">
        <f t="shared" si="22"/>
        <v>0.8116242424</v>
      </c>
      <c r="U233" s="77">
        <f t="shared" si="22"/>
        <v>0</v>
      </c>
      <c r="V233" s="77">
        <f t="shared" si="22"/>
        <v>0</v>
      </c>
      <c r="W233" s="77">
        <f t="shared" si="22"/>
        <v>0</v>
      </c>
      <c r="X233" s="77">
        <f t="shared" si="22"/>
        <v>0</v>
      </c>
      <c r="Y233" s="77">
        <f t="shared" si="22"/>
        <v>0</v>
      </c>
      <c r="Z233" s="77">
        <f t="shared" si="22"/>
        <v>0</v>
      </c>
      <c r="AA233" s="77">
        <f t="shared" si="22"/>
        <v>0</v>
      </c>
      <c r="AB233" s="9"/>
      <c r="AC233" s="9"/>
      <c r="AD233" s="9"/>
      <c r="AE233" s="9"/>
    </row>
    <row r="234">
      <c r="A234" s="78" t="s">
        <v>515</v>
      </c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79"/>
      <c r="M234" s="79"/>
      <c r="N234" s="79"/>
      <c r="O234" s="79"/>
      <c r="P234" s="79"/>
      <c r="Q234" s="79"/>
      <c r="R234" s="79"/>
      <c r="S234" s="80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customHeight="1">
      <c r="A235" s="68" t="s">
        <v>6</v>
      </c>
      <c r="B235" s="68" t="s">
        <v>7</v>
      </c>
      <c r="C235" s="68" t="s">
        <v>8</v>
      </c>
      <c r="D235" s="68" t="s">
        <v>9</v>
      </c>
      <c r="E235" s="68" t="s">
        <v>10</v>
      </c>
      <c r="F235" s="68" t="s">
        <v>11</v>
      </c>
      <c r="G235" s="41"/>
      <c r="H235" s="44"/>
      <c r="I235" s="44"/>
      <c r="J235" s="44"/>
      <c r="K235" s="69"/>
      <c r="L235" s="69"/>
      <c r="M235" s="69"/>
      <c r="N235" s="69"/>
      <c r="O235" s="69"/>
      <c r="P235" s="7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customHeight="1">
      <c r="A236" s="35" t="s">
        <v>235</v>
      </c>
      <c r="B236" s="35" t="s">
        <v>236</v>
      </c>
      <c r="C236" s="35">
        <v>74.0</v>
      </c>
      <c r="D236" s="35">
        <v>1.5120523036E10</v>
      </c>
      <c r="E236" s="35">
        <v>2.30007001E8</v>
      </c>
      <c r="F236" s="39" t="s">
        <v>517</v>
      </c>
      <c r="G236" s="41" t="str">
        <f t="shared" ref="G236:G254" si="23">IF(H236&gt;=0,"OK",IF(K236&gt;=J236,"Completed","Pending"))</f>
        <v>OK</v>
      </c>
      <c r="H236" s="44">
        <f t="shared" ref="H236:H254" si="24">round((((((L236*100)*$L$5)+((M236*100)*$M$5)+((N236*100)*$N$5)+((O236*100)*$O$5)+((P236*100)*$P$5)+((Q236*100)*$Q$5)+((R236*100)*$R$5)+((S236*100)*$S$5)+((T236*100)*$T$5)+((U236*100)*$U$5)+((V236*100)*$V$5)+((W236*100)*$W$5)+((X236*100)*$X$5)+((Y236*100)*$Y$5)+((Z236*100)*$Z$5)++((W236*100)*$W$5)+((AA236*100)*$AA$5))/($L$5+$M$5+$N$5+$O$5+$P$5+$Q$5+$R$5+$S$5+$T$5+$V$5+$U$5+$W$5+$X$5+$Y$5+$Z$5+$AA$5))-80),0)</f>
        <v>1</v>
      </c>
      <c r="I236" s="44">
        <f t="shared" ref="I236:I254" si="25">round(30*((L236*$L$5)+(M236*$M$5)+(N236*$N$5)+(O236*$O$5)+(P236*$P$5)+(Q236*$Q$5)+(R236*$R$5)+(S236*$S$5)+(T236*$T$5)+(U236*$U$5)+(V236*$V$5)+(W236*$W$5)+(X236*$X$5)+(Y236*$Y$5)+(Z236*$Z$5)+(AA236*$AA$5)),0)</f>
        <v>218</v>
      </c>
      <c r="J236" s="44">
        <f t="shared" ref="J236:J254" si="26">if(I236&lt;(24*($L$5+$M$5+$N$5+$O$5+$P$5+$Q$5+$R$5+$S$5+$T$5+$V$5+$U$5+$W$5+$X$5+$Y$5+$Z$5+$AA$5)),abs(I236-(24*($L$5+$M$5+$N$5+$O$5+$P$5+$Q$5+$R$5+$S$5+$T$5+$V$5+$U$5+$W$5+$X$5+$Y$5+$Z$5+$AA$5))),0)</f>
        <v>0</v>
      </c>
      <c r="K236" s="41"/>
      <c r="L236" s="41">
        <v>0.8889</v>
      </c>
      <c r="M236" s="41">
        <v>1.0</v>
      </c>
      <c r="N236" s="41">
        <v>0.8889</v>
      </c>
      <c r="O236" s="41">
        <v>0.8333</v>
      </c>
      <c r="P236" s="41">
        <v>0.8889</v>
      </c>
      <c r="Q236" s="41">
        <v>0.9444</v>
      </c>
      <c r="R236" s="41">
        <v>0.6111</v>
      </c>
      <c r="S236" s="41">
        <v>0.5556</v>
      </c>
      <c r="T236" s="41">
        <v>0.6667</v>
      </c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customHeight="1">
      <c r="A237" s="35" t="s">
        <v>235</v>
      </c>
      <c r="B237" s="35" t="s">
        <v>236</v>
      </c>
      <c r="C237" s="35">
        <v>75.0</v>
      </c>
      <c r="D237" s="35">
        <v>1.5120523015E10</v>
      </c>
      <c r="E237" s="35">
        <v>2.30007002E8</v>
      </c>
      <c r="F237" s="39" t="s">
        <v>524</v>
      </c>
      <c r="G237" s="41" t="str">
        <f t="shared" si="23"/>
        <v>OK</v>
      </c>
      <c r="H237" s="44">
        <f t="shared" si="24"/>
        <v>4</v>
      </c>
      <c r="I237" s="44">
        <f t="shared" si="25"/>
        <v>227</v>
      </c>
      <c r="J237" s="44">
        <f t="shared" si="26"/>
        <v>0</v>
      </c>
      <c r="K237" s="41"/>
      <c r="L237" s="41">
        <v>0.7778</v>
      </c>
      <c r="M237" s="41">
        <v>0.9444</v>
      </c>
      <c r="N237" s="41">
        <v>0.7778</v>
      </c>
      <c r="O237" s="41">
        <v>1.0</v>
      </c>
      <c r="P237" s="41">
        <v>1.0</v>
      </c>
      <c r="Q237" s="41">
        <v>0.7778</v>
      </c>
      <c r="R237" s="41">
        <v>0.6667</v>
      </c>
      <c r="S237" s="41">
        <v>0.7222</v>
      </c>
      <c r="T237" s="41">
        <v>0.8889</v>
      </c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customHeight="1">
      <c r="A238" s="35" t="s">
        <v>235</v>
      </c>
      <c r="B238" s="35" t="s">
        <v>236</v>
      </c>
      <c r="C238" s="35">
        <v>76.0</v>
      </c>
      <c r="D238" s="35">
        <v>1.5120523011E10</v>
      </c>
      <c r="E238" s="35">
        <v>2.30007005E8</v>
      </c>
      <c r="F238" s="39" t="s">
        <v>526</v>
      </c>
      <c r="G238" s="41" t="str">
        <f t="shared" si="23"/>
        <v>OK</v>
      </c>
      <c r="H238" s="44">
        <f t="shared" si="24"/>
        <v>5</v>
      </c>
      <c r="I238" s="44">
        <f t="shared" si="25"/>
        <v>228</v>
      </c>
      <c r="J238" s="44">
        <f t="shared" si="26"/>
        <v>0</v>
      </c>
      <c r="K238" s="41"/>
      <c r="L238" s="41">
        <v>0.8333</v>
      </c>
      <c r="M238" s="41">
        <v>0.8889</v>
      </c>
      <c r="N238" s="41">
        <v>0.8889</v>
      </c>
      <c r="O238" s="41">
        <v>0.8333</v>
      </c>
      <c r="P238" s="41">
        <v>0.9444</v>
      </c>
      <c r="Q238" s="41">
        <v>0.9444</v>
      </c>
      <c r="R238" s="41">
        <v>0.7778</v>
      </c>
      <c r="S238" s="41">
        <v>0.7778</v>
      </c>
      <c r="T238" s="41">
        <v>0.7222</v>
      </c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customHeight="1">
      <c r="A239" s="35" t="s">
        <v>235</v>
      </c>
      <c r="B239" s="35" t="s">
        <v>236</v>
      </c>
      <c r="C239" s="35">
        <v>77.0</v>
      </c>
      <c r="D239" s="35">
        <v>1.5120523005E10</v>
      </c>
      <c r="E239" s="35">
        <v>2.30007007E8</v>
      </c>
      <c r="F239" s="39" t="s">
        <v>528</v>
      </c>
      <c r="G239" s="41" t="str">
        <f t="shared" si="23"/>
        <v>Pending</v>
      </c>
      <c r="H239" s="44">
        <f t="shared" si="24"/>
        <v>-15</v>
      </c>
      <c r="I239" s="44">
        <f t="shared" si="25"/>
        <v>177</v>
      </c>
      <c r="J239" s="44">
        <f t="shared" si="26"/>
        <v>39</v>
      </c>
      <c r="K239" s="41"/>
      <c r="L239" s="41">
        <v>0.0</v>
      </c>
      <c r="M239" s="41">
        <v>1.0</v>
      </c>
      <c r="N239" s="41">
        <v>0.9444</v>
      </c>
      <c r="O239" s="41">
        <v>0.8889</v>
      </c>
      <c r="P239" s="41">
        <v>0.1667</v>
      </c>
      <c r="Q239" s="41">
        <v>1.0</v>
      </c>
      <c r="R239" s="41">
        <v>0.9444</v>
      </c>
      <c r="S239" s="41">
        <v>0.0556</v>
      </c>
      <c r="T239" s="41">
        <v>0.8889</v>
      </c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customHeight="1">
      <c r="A240" s="35" t="s">
        <v>235</v>
      </c>
      <c r="B240" s="35" t="s">
        <v>236</v>
      </c>
      <c r="C240" s="35">
        <v>78.0</v>
      </c>
      <c r="D240" s="35">
        <v>1.5120523032E10</v>
      </c>
      <c r="E240" s="35">
        <v>2.30007008E8</v>
      </c>
      <c r="F240" s="39" t="s">
        <v>530</v>
      </c>
      <c r="G240" s="41" t="str">
        <f t="shared" si="23"/>
        <v>Pending</v>
      </c>
      <c r="H240" s="44">
        <f t="shared" si="24"/>
        <v>-1</v>
      </c>
      <c r="I240" s="44">
        <f t="shared" si="25"/>
        <v>213</v>
      </c>
      <c r="J240" s="44">
        <f t="shared" si="26"/>
        <v>3</v>
      </c>
      <c r="K240" s="41"/>
      <c r="L240" s="41">
        <v>0.8333</v>
      </c>
      <c r="M240" s="41">
        <v>0.9444</v>
      </c>
      <c r="N240" s="41">
        <v>0.7222</v>
      </c>
      <c r="O240" s="41">
        <v>0.7222</v>
      </c>
      <c r="P240" s="41">
        <v>1.0</v>
      </c>
      <c r="Q240" s="41">
        <v>0.4444</v>
      </c>
      <c r="R240" s="41">
        <v>0.7778</v>
      </c>
      <c r="S240" s="41">
        <v>0.7222</v>
      </c>
      <c r="T240" s="41">
        <v>0.9444</v>
      </c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customHeight="1">
      <c r="A241" s="35" t="s">
        <v>235</v>
      </c>
      <c r="B241" s="35" t="s">
        <v>236</v>
      </c>
      <c r="C241" s="35">
        <v>79.0</v>
      </c>
      <c r="D241" s="35">
        <v>1.5120523018E10</v>
      </c>
      <c r="E241" s="35">
        <v>2.30007009E8</v>
      </c>
      <c r="F241" s="39" t="s">
        <v>532</v>
      </c>
      <c r="G241" s="41" t="str">
        <f t="shared" si="23"/>
        <v>Pending</v>
      </c>
      <c r="H241" s="44">
        <f t="shared" si="24"/>
        <v>-69</v>
      </c>
      <c r="I241" s="44">
        <f t="shared" si="25"/>
        <v>30</v>
      </c>
      <c r="J241" s="44">
        <f t="shared" si="26"/>
        <v>186</v>
      </c>
      <c r="K241" s="41"/>
      <c r="L241" s="41">
        <v>0.0</v>
      </c>
      <c r="M241" s="41">
        <v>0.0556</v>
      </c>
      <c r="N241" s="41">
        <v>0.1111</v>
      </c>
      <c r="O241" s="41">
        <v>0.1111</v>
      </c>
      <c r="P241" s="41">
        <v>0.1667</v>
      </c>
      <c r="Q241" s="41">
        <v>0.0</v>
      </c>
      <c r="R241" s="41">
        <v>0.3889</v>
      </c>
      <c r="S241" s="41">
        <v>0.0556</v>
      </c>
      <c r="T241" s="41">
        <v>0.1111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customHeight="1">
      <c r="A242" s="35" t="s">
        <v>235</v>
      </c>
      <c r="B242" s="35" t="s">
        <v>236</v>
      </c>
      <c r="C242" s="35">
        <v>80.0</v>
      </c>
      <c r="D242" s="35">
        <v>1.5120523016E10</v>
      </c>
      <c r="E242" s="35">
        <v>2.30007015E8</v>
      </c>
      <c r="F242" s="39" t="s">
        <v>534</v>
      </c>
      <c r="G242" s="41" t="str">
        <f t="shared" si="23"/>
        <v>Pending</v>
      </c>
      <c r="H242" s="44">
        <f t="shared" si="24"/>
        <v>-22</v>
      </c>
      <c r="I242" s="44">
        <f t="shared" si="25"/>
        <v>157</v>
      </c>
      <c r="J242" s="44">
        <f t="shared" si="26"/>
        <v>59</v>
      </c>
      <c r="K242" s="41"/>
      <c r="L242" s="41">
        <v>0.0</v>
      </c>
      <c r="M242" s="41">
        <v>0.7222</v>
      </c>
      <c r="N242" s="41">
        <v>0.8333</v>
      </c>
      <c r="O242" s="41">
        <v>0.6111</v>
      </c>
      <c r="P242" s="41">
        <v>0.7222</v>
      </c>
      <c r="Q242" s="41">
        <v>0.5556</v>
      </c>
      <c r="R242" s="41">
        <v>0.7778</v>
      </c>
      <c r="S242" s="41">
        <v>0.6111</v>
      </c>
      <c r="T242" s="41">
        <v>0.3889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customHeight="1">
      <c r="A243" s="35" t="s">
        <v>235</v>
      </c>
      <c r="B243" s="35" t="s">
        <v>236</v>
      </c>
      <c r="C243" s="35">
        <v>81.0</v>
      </c>
      <c r="D243" s="35">
        <v>1.5120523003E10</v>
      </c>
      <c r="E243" s="35">
        <v>2.30007016E8</v>
      </c>
      <c r="F243" s="39" t="s">
        <v>536</v>
      </c>
      <c r="G243" s="41" t="str">
        <f t="shared" si="23"/>
        <v>OK</v>
      </c>
      <c r="H243" s="44">
        <f t="shared" si="24"/>
        <v>1</v>
      </c>
      <c r="I243" s="44">
        <f t="shared" si="25"/>
        <v>218</v>
      </c>
      <c r="J243" s="44">
        <f t="shared" si="26"/>
        <v>0</v>
      </c>
      <c r="K243" s="41"/>
      <c r="L243" s="41">
        <v>0.8889</v>
      </c>
      <c r="M243" s="41">
        <v>0.9444</v>
      </c>
      <c r="N243" s="41">
        <v>0.7222</v>
      </c>
      <c r="O243" s="41">
        <v>0.7778</v>
      </c>
      <c r="P243" s="41">
        <v>1.0</v>
      </c>
      <c r="Q243" s="41">
        <v>0.4444</v>
      </c>
      <c r="R243" s="41">
        <v>1.0</v>
      </c>
      <c r="S243" s="41">
        <v>0.6111</v>
      </c>
      <c r="T243" s="41">
        <v>0.8889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customHeight="1">
      <c r="A244" s="35" t="s">
        <v>235</v>
      </c>
      <c r="B244" s="35" t="s">
        <v>236</v>
      </c>
      <c r="C244" s="35">
        <v>82.0</v>
      </c>
      <c r="D244" s="35">
        <v>1.5120523014E10</v>
      </c>
      <c r="E244" s="35">
        <v>2.3000702E8</v>
      </c>
      <c r="F244" s="39" t="s">
        <v>537</v>
      </c>
      <c r="G244" s="41" t="str">
        <f t="shared" si="23"/>
        <v>Pending</v>
      </c>
      <c r="H244" s="44">
        <f t="shared" si="24"/>
        <v>-7</v>
      </c>
      <c r="I244" s="44">
        <f t="shared" si="25"/>
        <v>198</v>
      </c>
      <c r="J244" s="44">
        <f t="shared" si="26"/>
        <v>18</v>
      </c>
      <c r="K244" s="41"/>
      <c r="L244" s="41">
        <v>0.7778</v>
      </c>
      <c r="M244" s="41">
        <v>1.0</v>
      </c>
      <c r="N244" s="41">
        <v>0.9444</v>
      </c>
      <c r="O244" s="41">
        <v>1.0</v>
      </c>
      <c r="P244" s="41">
        <v>0.8889</v>
      </c>
      <c r="Q244" s="41">
        <v>0.3333</v>
      </c>
      <c r="R244" s="41">
        <v>0.3889</v>
      </c>
      <c r="S244" s="41">
        <v>0.8889</v>
      </c>
      <c r="T244" s="41">
        <v>0.3889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customHeight="1">
      <c r="A245" s="35" t="s">
        <v>235</v>
      </c>
      <c r="B245" s="35" t="s">
        <v>236</v>
      </c>
      <c r="C245" s="35">
        <v>83.0</v>
      </c>
      <c r="D245" s="35">
        <v>1.5120523027E10</v>
      </c>
      <c r="E245" s="35">
        <v>2.30007021E8</v>
      </c>
      <c r="F245" s="39" t="s">
        <v>539</v>
      </c>
      <c r="G245" s="41" t="str">
        <f t="shared" si="23"/>
        <v>Pending</v>
      </c>
      <c r="H245" s="44">
        <f t="shared" si="24"/>
        <v>-3</v>
      </c>
      <c r="I245" s="44">
        <f t="shared" si="25"/>
        <v>208</v>
      </c>
      <c r="J245" s="44">
        <f t="shared" si="26"/>
        <v>8</v>
      </c>
      <c r="K245" s="41"/>
      <c r="L245" s="41">
        <v>0.4444</v>
      </c>
      <c r="M245" s="41">
        <v>1.0</v>
      </c>
      <c r="N245" s="41">
        <v>0.7222</v>
      </c>
      <c r="O245" s="41">
        <v>1.0</v>
      </c>
      <c r="P245" s="41">
        <v>0.8889</v>
      </c>
      <c r="Q245" s="41">
        <v>1.0</v>
      </c>
      <c r="R245" s="41">
        <v>0.3889</v>
      </c>
      <c r="S245" s="41">
        <v>0.8889</v>
      </c>
      <c r="T245" s="41">
        <v>0.6111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35" t="s">
        <v>235</v>
      </c>
      <c r="B246" s="35" t="s">
        <v>236</v>
      </c>
      <c r="C246" s="35">
        <v>84.0</v>
      </c>
      <c r="D246" s="35">
        <v>1.5120523026E10</v>
      </c>
      <c r="E246" s="35">
        <v>2.30007025E8</v>
      </c>
      <c r="F246" s="39" t="s">
        <v>541</v>
      </c>
      <c r="G246" s="41" t="str">
        <f t="shared" si="23"/>
        <v>OK</v>
      </c>
      <c r="H246" s="44">
        <f t="shared" si="24"/>
        <v>10</v>
      </c>
      <c r="I246" s="44">
        <f t="shared" si="25"/>
        <v>243</v>
      </c>
      <c r="J246" s="44">
        <f t="shared" si="26"/>
        <v>0</v>
      </c>
      <c r="K246" s="41"/>
      <c r="L246" s="41">
        <v>1.0</v>
      </c>
      <c r="M246" s="41">
        <v>0.6111</v>
      </c>
      <c r="N246" s="41">
        <v>0.9444</v>
      </c>
      <c r="O246" s="41">
        <v>1.0</v>
      </c>
      <c r="P246" s="41">
        <v>0.8889</v>
      </c>
      <c r="Q246" s="41">
        <v>0.8889</v>
      </c>
      <c r="R246" s="41">
        <v>1.0</v>
      </c>
      <c r="S246" s="41">
        <v>0.8889</v>
      </c>
      <c r="T246" s="41">
        <v>0.8889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5.75" customHeight="1">
      <c r="A247" s="35" t="s">
        <v>235</v>
      </c>
      <c r="B247" s="35" t="s">
        <v>236</v>
      </c>
      <c r="C247" s="35">
        <v>85.0</v>
      </c>
      <c r="D247" s="35">
        <v>1.5120523024E10</v>
      </c>
      <c r="E247" s="35">
        <v>2.30007026E8</v>
      </c>
      <c r="F247" s="39" t="s">
        <v>543</v>
      </c>
      <c r="G247" s="41" t="str">
        <f t="shared" si="23"/>
        <v>OK</v>
      </c>
      <c r="H247" s="44">
        <f t="shared" si="24"/>
        <v>5</v>
      </c>
      <c r="I247" s="44">
        <f t="shared" si="25"/>
        <v>228</v>
      </c>
      <c r="J247" s="44">
        <f t="shared" si="26"/>
        <v>0</v>
      </c>
      <c r="K247" s="41"/>
      <c r="L247" s="41">
        <v>0.7778</v>
      </c>
      <c r="M247" s="41">
        <v>0.7778</v>
      </c>
      <c r="N247" s="41">
        <v>0.8889</v>
      </c>
      <c r="O247" s="41">
        <v>1.0</v>
      </c>
      <c r="P247" s="41">
        <v>0.9444</v>
      </c>
      <c r="Q247" s="41">
        <v>0.8889</v>
      </c>
      <c r="R247" s="41">
        <v>0.7778</v>
      </c>
      <c r="S247" s="41">
        <v>0.8333</v>
      </c>
      <c r="T247" s="41">
        <v>0.7222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5.75" customHeight="1">
      <c r="A248" s="35" t="s">
        <v>235</v>
      </c>
      <c r="B248" s="35" t="s">
        <v>236</v>
      </c>
      <c r="C248" s="35">
        <v>86.0</v>
      </c>
      <c r="D248" s="35">
        <v>1.5120523008E10</v>
      </c>
      <c r="E248" s="35">
        <v>2.30007027E8</v>
      </c>
      <c r="F248" s="39" t="s">
        <v>545</v>
      </c>
      <c r="G248" s="41" t="str">
        <f t="shared" si="23"/>
        <v>Pending</v>
      </c>
      <c r="H248" s="44">
        <f t="shared" si="24"/>
        <v>-27</v>
      </c>
      <c r="I248" s="44">
        <f t="shared" si="25"/>
        <v>143</v>
      </c>
      <c r="J248" s="44">
        <f t="shared" si="26"/>
        <v>73</v>
      </c>
      <c r="K248" s="41"/>
      <c r="L248" s="41">
        <v>0.0</v>
      </c>
      <c r="M248" s="41">
        <v>0.6111</v>
      </c>
      <c r="N248" s="41">
        <v>0.7778</v>
      </c>
      <c r="O248" s="41">
        <v>0.6667</v>
      </c>
      <c r="P248" s="41">
        <v>0.7222</v>
      </c>
      <c r="Q248" s="41">
        <v>0.4444</v>
      </c>
      <c r="R248" s="41">
        <v>0.8333</v>
      </c>
      <c r="S248" s="41">
        <v>0.4444</v>
      </c>
      <c r="T248" s="41">
        <v>0.2778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5.75" customHeight="1">
      <c r="A249" s="35" t="s">
        <v>235</v>
      </c>
      <c r="B249" s="35" t="s">
        <v>236</v>
      </c>
      <c r="C249" s="35">
        <v>87.0</v>
      </c>
      <c r="D249" s="35">
        <v>1.5120523012E10</v>
      </c>
      <c r="E249" s="35">
        <v>2.30007028E8</v>
      </c>
      <c r="F249" s="39" t="s">
        <v>547</v>
      </c>
      <c r="G249" s="41" t="str">
        <f t="shared" si="23"/>
        <v>OK</v>
      </c>
      <c r="H249" s="44">
        <f t="shared" si="24"/>
        <v>8</v>
      </c>
      <c r="I249" s="44">
        <f t="shared" si="25"/>
        <v>238</v>
      </c>
      <c r="J249" s="44">
        <f t="shared" si="26"/>
        <v>0</v>
      </c>
      <c r="K249" s="41"/>
      <c r="L249" s="41">
        <v>1.0</v>
      </c>
      <c r="M249" s="41">
        <v>0.9444</v>
      </c>
      <c r="N249" s="41">
        <v>0.9444</v>
      </c>
      <c r="O249" s="41">
        <v>0.9444</v>
      </c>
      <c r="P249" s="41">
        <v>1.0</v>
      </c>
      <c r="Q249" s="41">
        <v>0.7778</v>
      </c>
      <c r="R249" s="41">
        <v>0.6667</v>
      </c>
      <c r="S249" s="41">
        <v>0.6667</v>
      </c>
      <c r="T249" s="41">
        <v>1.0</v>
      </c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5.75" customHeight="1">
      <c r="A250" s="35" t="s">
        <v>235</v>
      </c>
      <c r="B250" s="35" t="s">
        <v>236</v>
      </c>
      <c r="C250" s="35">
        <v>88.0</v>
      </c>
      <c r="D250" s="35">
        <v>1.5120524063E10</v>
      </c>
      <c r="E250" s="35">
        <v>2.41007001E8</v>
      </c>
      <c r="F250" s="39" t="s">
        <v>549</v>
      </c>
      <c r="G250" s="41" t="str">
        <f t="shared" si="23"/>
        <v>Pending</v>
      </c>
      <c r="H250" s="44">
        <f t="shared" si="24"/>
        <v>-3</v>
      </c>
      <c r="I250" s="44">
        <f t="shared" si="25"/>
        <v>207</v>
      </c>
      <c r="J250" s="44">
        <f t="shared" si="26"/>
        <v>9</v>
      </c>
      <c r="K250" s="41"/>
      <c r="L250" s="41">
        <v>0.0</v>
      </c>
      <c r="M250" s="41">
        <v>0.9444</v>
      </c>
      <c r="N250" s="41">
        <v>0.8333</v>
      </c>
      <c r="O250" s="41">
        <v>0.7778</v>
      </c>
      <c r="P250" s="41">
        <v>1.0</v>
      </c>
      <c r="Q250" s="41">
        <v>0.8333</v>
      </c>
      <c r="R250" s="41">
        <v>0.8333</v>
      </c>
      <c r="S250" s="41">
        <v>0.8333</v>
      </c>
      <c r="T250" s="41">
        <v>0.8333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5.75" customHeight="1">
      <c r="A251" s="35" t="s">
        <v>235</v>
      </c>
      <c r="B251" s="35" t="s">
        <v>236</v>
      </c>
      <c r="C251" s="35">
        <v>89.0</v>
      </c>
      <c r="D251" s="35">
        <v>1.5120524061E10</v>
      </c>
      <c r="E251" s="35">
        <v>2.41007002E8</v>
      </c>
      <c r="F251" s="39" t="s">
        <v>551</v>
      </c>
      <c r="G251" s="41" t="str">
        <f t="shared" si="23"/>
        <v>Pending</v>
      </c>
      <c r="H251" s="44">
        <f t="shared" si="24"/>
        <v>-25</v>
      </c>
      <c r="I251" s="44">
        <f t="shared" si="25"/>
        <v>148</v>
      </c>
      <c r="J251" s="44">
        <f t="shared" si="26"/>
        <v>68</v>
      </c>
      <c r="K251" s="41"/>
      <c r="L251" s="41">
        <v>0.0</v>
      </c>
      <c r="M251" s="41">
        <v>0.6111</v>
      </c>
      <c r="N251" s="41">
        <v>0.3889</v>
      </c>
      <c r="O251" s="41">
        <v>0.6667</v>
      </c>
      <c r="P251" s="41">
        <v>0.1111</v>
      </c>
      <c r="Q251" s="41">
        <v>0.8889</v>
      </c>
      <c r="R251" s="41">
        <v>0.7778</v>
      </c>
      <c r="S251" s="41">
        <v>0.7222</v>
      </c>
      <c r="T251" s="41">
        <v>0.7778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5.75" customHeight="1">
      <c r="A252" s="35" t="s">
        <v>235</v>
      </c>
      <c r="B252" s="35" t="s">
        <v>236</v>
      </c>
      <c r="C252" s="35">
        <v>90.0</v>
      </c>
      <c r="D252" s="35">
        <v>1.5120524062E10</v>
      </c>
      <c r="E252" s="35">
        <v>2.41007004E8</v>
      </c>
      <c r="F252" s="39" t="s">
        <v>553</v>
      </c>
      <c r="G252" s="41" t="str">
        <f t="shared" si="23"/>
        <v>OK</v>
      </c>
      <c r="H252" s="44">
        <f t="shared" si="24"/>
        <v>8</v>
      </c>
      <c r="I252" s="44">
        <f t="shared" si="25"/>
        <v>238</v>
      </c>
      <c r="J252" s="44">
        <f t="shared" si="26"/>
        <v>0</v>
      </c>
      <c r="K252" s="41"/>
      <c r="L252" s="41">
        <v>0.5556</v>
      </c>
      <c r="M252" s="41">
        <v>0.8889</v>
      </c>
      <c r="N252" s="41">
        <v>0.8333</v>
      </c>
      <c r="O252" s="41">
        <v>1.0</v>
      </c>
      <c r="P252" s="41">
        <v>0.8889</v>
      </c>
      <c r="Q252" s="41">
        <v>1.0</v>
      </c>
      <c r="R252" s="41">
        <v>1.0</v>
      </c>
      <c r="S252" s="41">
        <v>0.9444</v>
      </c>
      <c r="T252" s="41">
        <v>0.8333</v>
      </c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5.75" customHeight="1">
      <c r="A253" s="35" t="s">
        <v>235</v>
      </c>
      <c r="B253" s="35" t="s">
        <v>236</v>
      </c>
      <c r="C253" s="35">
        <v>91.0</v>
      </c>
      <c r="D253" s="35">
        <v>1.512052406E10</v>
      </c>
      <c r="E253" s="35">
        <v>2.41007005E8</v>
      </c>
      <c r="F253" s="39" t="s">
        <v>555</v>
      </c>
      <c r="G253" s="41" t="str">
        <f t="shared" si="23"/>
        <v>Pending</v>
      </c>
      <c r="H253" s="44">
        <f t="shared" si="24"/>
        <v>-40</v>
      </c>
      <c r="I253" s="44">
        <f t="shared" si="25"/>
        <v>107</v>
      </c>
      <c r="J253" s="44">
        <f t="shared" si="26"/>
        <v>109</v>
      </c>
      <c r="K253" s="41"/>
      <c r="L253" s="41">
        <v>0.0</v>
      </c>
      <c r="M253" s="41">
        <v>0.2778</v>
      </c>
      <c r="N253" s="41">
        <v>0.3333</v>
      </c>
      <c r="O253" s="41">
        <v>0.3333</v>
      </c>
      <c r="P253" s="41">
        <v>0.1667</v>
      </c>
      <c r="Q253" s="41">
        <v>0.4444</v>
      </c>
      <c r="R253" s="41">
        <v>0.7778</v>
      </c>
      <c r="S253" s="41">
        <v>0.5556</v>
      </c>
      <c r="T253" s="41">
        <v>0.6667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35" t="s">
        <v>235</v>
      </c>
      <c r="B254" s="35" t="s">
        <v>236</v>
      </c>
      <c r="C254" s="35">
        <v>92.0</v>
      </c>
      <c r="D254" s="35">
        <v>1.5120524079E10</v>
      </c>
      <c r="E254" s="35">
        <v>2.42007001E8</v>
      </c>
      <c r="F254" s="39" t="s">
        <v>557</v>
      </c>
      <c r="G254" s="41" t="str">
        <f t="shared" si="23"/>
        <v>OK</v>
      </c>
      <c r="H254" s="44">
        <f t="shared" si="24"/>
        <v>3</v>
      </c>
      <c r="I254" s="44">
        <f t="shared" si="25"/>
        <v>223</v>
      </c>
      <c r="J254" s="44">
        <f t="shared" si="26"/>
        <v>0</v>
      </c>
      <c r="K254" s="41"/>
      <c r="L254" s="41">
        <v>1.0</v>
      </c>
      <c r="M254" s="41">
        <v>0.6667</v>
      </c>
      <c r="N254" s="41">
        <v>0.5556</v>
      </c>
      <c r="O254" s="41">
        <v>1.0</v>
      </c>
      <c r="P254" s="41">
        <v>0.9444</v>
      </c>
      <c r="Q254" s="41">
        <v>0.9444</v>
      </c>
      <c r="R254" s="41">
        <v>0.7222</v>
      </c>
      <c r="S254" s="41">
        <v>0.7222</v>
      </c>
      <c r="T254" s="41">
        <v>0.8889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5.75" customHeight="1">
      <c r="A255" s="28" t="s">
        <v>6</v>
      </c>
      <c r="B255" s="28" t="s">
        <v>7</v>
      </c>
      <c r="C255" s="28" t="s">
        <v>8</v>
      </c>
      <c r="D255" s="28" t="s">
        <v>9</v>
      </c>
      <c r="E255" s="28" t="s">
        <v>10</v>
      </c>
      <c r="F255" s="28"/>
      <c r="G255" s="41"/>
      <c r="H255" s="44"/>
      <c r="I255" s="44"/>
      <c r="J255" s="44"/>
      <c r="K255" s="38"/>
      <c r="L255" s="38"/>
      <c r="M255" s="38"/>
      <c r="N255" s="38"/>
      <c r="O255" s="38"/>
      <c r="P255" s="7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5.75" customHeight="1">
      <c r="A256" s="35" t="s">
        <v>32</v>
      </c>
      <c r="B256" s="35" t="s">
        <v>34</v>
      </c>
      <c r="C256" s="35">
        <v>63.0</v>
      </c>
      <c r="D256" s="35">
        <v>1.5120523019E10</v>
      </c>
      <c r="E256" s="35">
        <v>2.30007004E8</v>
      </c>
      <c r="F256" s="39" t="s">
        <v>559</v>
      </c>
      <c r="G256" s="41" t="str">
        <f t="shared" ref="G256:G263" si="27">IF(H256&gt;=0,"OK",IF(K256&gt;=J256,"Completed","Pending"))</f>
        <v>OK</v>
      </c>
      <c r="H256" s="44">
        <f t="shared" ref="H256:H263" si="28">round((((((L256*100)*$L$5)+((M256*100)*$M$5)+((N256*100)*$N$5)+((O256*100)*$O$5)+((P256*100)*$P$5)+((Q256*100)*$Q$5)+((R256*100)*$R$5)+((S256*100)*$S$5)+((T256*100)*$T$5)+((U256*100)*$U$5)+((V256*100)*$V$5)+((W256*100)*$W$5)+((X256*100)*$X$5)+((Y256*100)*$Y$5)+((Z256*100)*$Z$5)++((W256*100)*$W$5)+((AA256*100)*$AA$5))/($L$5+$M$5+$N$5+$O$5+$P$5+$Q$5+$R$5+$S$5+$T$5+$V$5+$U$5+$W$5+$X$5+$Y$5+$Z$5+$AA$5))-80),0)</f>
        <v>20</v>
      </c>
      <c r="I256" s="44">
        <f t="shared" ref="I256:I263" si="29">round(30*((L256*$L$5)+(M256*$M$5)+(N256*$N$5)+(O256*$O$5)+(P256*$P$5)+(Q256*$Q$5)+(R256*$R$5)+(S256*$S$5)+(T256*$T$5)+(U256*$U$5)+(V256*$V$5)+(W256*$W$5)+(X256*$X$5)+(Y256*$Y$5)+(Z256*$Z$5)+(AA256*$AA$5)),0)</f>
        <v>270</v>
      </c>
      <c r="J256" s="44">
        <f t="shared" ref="J256:J263" si="30">if(I256&lt;(24*($L$5+$M$5+$N$5+$O$5+$P$5+$Q$5+$R$5+$S$5+$T$5+$V$5+$U$5+$W$5+$X$5+$Y$5+$Z$5+$AA$5)),abs(I256-(24*($L$5+$M$5+$N$5+$O$5+$P$5+$Q$5+$R$5+$S$5+$T$5+$V$5+$U$5+$W$5+$X$5+$Y$5+$Z$5+$AA$5))),0)</f>
        <v>0</v>
      </c>
      <c r="K256" s="41"/>
      <c r="L256" s="41">
        <v>1.0</v>
      </c>
      <c r="M256" s="41">
        <v>1.0</v>
      </c>
      <c r="N256" s="41">
        <v>1.0</v>
      </c>
      <c r="O256" s="41">
        <v>1.0</v>
      </c>
      <c r="P256" s="41">
        <v>1.0</v>
      </c>
      <c r="Q256" s="41">
        <v>1.0</v>
      </c>
      <c r="R256" s="41">
        <v>1.0</v>
      </c>
      <c r="S256" s="41">
        <v>1.0</v>
      </c>
      <c r="T256" s="41">
        <v>1.0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5.75" customHeight="1">
      <c r="A257" s="35" t="s">
        <v>32</v>
      </c>
      <c r="B257" s="35" t="s">
        <v>34</v>
      </c>
      <c r="C257" s="35">
        <v>64.0</v>
      </c>
      <c r="D257" s="35">
        <v>1.5120523023E10</v>
      </c>
      <c r="E257" s="35">
        <v>2.3000701E8</v>
      </c>
      <c r="F257" s="39" t="s">
        <v>566</v>
      </c>
      <c r="G257" s="41" t="str">
        <f t="shared" si="27"/>
        <v>OK</v>
      </c>
      <c r="H257" s="44">
        <f t="shared" si="28"/>
        <v>8</v>
      </c>
      <c r="I257" s="44">
        <f t="shared" si="29"/>
        <v>237</v>
      </c>
      <c r="J257" s="44">
        <f t="shared" si="30"/>
        <v>0</v>
      </c>
      <c r="K257" s="41"/>
      <c r="L257" s="41">
        <v>0.8889</v>
      </c>
      <c r="M257" s="41">
        <v>0.9444</v>
      </c>
      <c r="N257" s="41">
        <v>0.6111</v>
      </c>
      <c r="O257" s="41">
        <v>0.8889</v>
      </c>
      <c r="P257" s="41">
        <v>0.7778</v>
      </c>
      <c r="Q257" s="41">
        <v>0.8333</v>
      </c>
      <c r="R257" s="41">
        <v>1.0</v>
      </c>
      <c r="S257" s="41">
        <v>1.0</v>
      </c>
      <c r="T257" s="41">
        <v>0.9444</v>
      </c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35" t="s">
        <v>32</v>
      </c>
      <c r="B258" s="35" t="s">
        <v>34</v>
      </c>
      <c r="C258" s="35">
        <v>65.0</v>
      </c>
      <c r="D258" s="35">
        <v>1.512052302E10</v>
      </c>
      <c r="E258" s="35">
        <v>2.30007012E8</v>
      </c>
      <c r="F258" s="39" t="s">
        <v>568</v>
      </c>
      <c r="G258" s="41" t="str">
        <f t="shared" si="27"/>
        <v>OK</v>
      </c>
      <c r="H258" s="44">
        <f t="shared" si="28"/>
        <v>19</v>
      </c>
      <c r="I258" s="44">
        <f t="shared" si="29"/>
        <v>268</v>
      </c>
      <c r="J258" s="44">
        <f t="shared" si="30"/>
        <v>0</v>
      </c>
      <c r="K258" s="41"/>
      <c r="L258" s="41">
        <v>1.0</v>
      </c>
      <c r="M258" s="41">
        <v>0.9444</v>
      </c>
      <c r="N258" s="41">
        <v>1.0</v>
      </c>
      <c r="O258" s="41">
        <v>1.0</v>
      </c>
      <c r="P258" s="41">
        <v>1.0</v>
      </c>
      <c r="Q258" s="41">
        <v>1.0</v>
      </c>
      <c r="R258" s="41">
        <v>1.0</v>
      </c>
      <c r="S258" s="41">
        <v>1.0</v>
      </c>
      <c r="T258" s="41">
        <v>1.0</v>
      </c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5.75" customHeight="1">
      <c r="A259" s="35" t="s">
        <v>32</v>
      </c>
      <c r="B259" s="35" t="s">
        <v>34</v>
      </c>
      <c r="C259" s="35">
        <v>66.0</v>
      </c>
      <c r="D259" s="35">
        <v>1.5120523017E10</v>
      </c>
      <c r="E259" s="35">
        <v>2.30007018E8</v>
      </c>
      <c r="F259" s="39" t="s">
        <v>570</v>
      </c>
      <c r="G259" s="41" t="str">
        <f t="shared" si="27"/>
        <v>OK</v>
      </c>
      <c r="H259" s="44">
        <f t="shared" si="28"/>
        <v>6</v>
      </c>
      <c r="I259" s="44">
        <f t="shared" si="29"/>
        <v>233</v>
      </c>
      <c r="J259" s="44">
        <f t="shared" si="30"/>
        <v>0</v>
      </c>
      <c r="K259" s="41"/>
      <c r="L259" s="41">
        <v>0.9444</v>
      </c>
      <c r="M259" s="41">
        <v>0.9444</v>
      </c>
      <c r="N259" s="41">
        <v>0.9444</v>
      </c>
      <c r="O259" s="41">
        <v>0.8889</v>
      </c>
      <c r="P259" s="41">
        <v>0.9444</v>
      </c>
      <c r="Q259" s="41">
        <v>0.8333</v>
      </c>
      <c r="R259" s="41">
        <v>0.6667</v>
      </c>
      <c r="S259" s="41">
        <v>0.6111</v>
      </c>
      <c r="T259" s="41">
        <v>1.0</v>
      </c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5.75" customHeight="1">
      <c r="A260" s="35" t="s">
        <v>32</v>
      </c>
      <c r="B260" s="35" t="s">
        <v>34</v>
      </c>
      <c r="C260" s="35">
        <v>67.0</v>
      </c>
      <c r="D260" s="35">
        <v>1.5120523007E10</v>
      </c>
      <c r="E260" s="35">
        <v>2.30007019E8</v>
      </c>
      <c r="F260" s="39" t="s">
        <v>572</v>
      </c>
      <c r="G260" s="41" t="str">
        <f t="shared" si="27"/>
        <v>OK</v>
      </c>
      <c r="H260" s="44">
        <f t="shared" si="28"/>
        <v>13</v>
      </c>
      <c r="I260" s="44">
        <f t="shared" si="29"/>
        <v>252</v>
      </c>
      <c r="J260" s="44">
        <f t="shared" si="30"/>
        <v>0</v>
      </c>
      <c r="K260" s="41"/>
      <c r="L260" s="41">
        <v>0.9444</v>
      </c>
      <c r="M260" s="41">
        <v>1.0</v>
      </c>
      <c r="N260" s="41">
        <v>1.0</v>
      </c>
      <c r="O260" s="41">
        <v>0.9444</v>
      </c>
      <c r="P260" s="41">
        <v>0.8889</v>
      </c>
      <c r="Q260" s="41">
        <v>1.0</v>
      </c>
      <c r="R260" s="41">
        <v>0.6667</v>
      </c>
      <c r="S260" s="41">
        <v>0.9444</v>
      </c>
      <c r="T260" s="41">
        <v>1.0</v>
      </c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5.75" customHeight="1">
      <c r="A261" s="35" t="s">
        <v>32</v>
      </c>
      <c r="B261" s="35" t="s">
        <v>34</v>
      </c>
      <c r="C261" s="35">
        <v>68.0</v>
      </c>
      <c r="D261" s="35">
        <v>1.5120523013E10</v>
      </c>
      <c r="E261" s="35">
        <v>2.30007024E8</v>
      </c>
      <c r="F261" s="39" t="s">
        <v>574</v>
      </c>
      <c r="G261" s="41" t="str">
        <f t="shared" si="27"/>
        <v>OK</v>
      </c>
      <c r="H261" s="44">
        <f t="shared" si="28"/>
        <v>19</v>
      </c>
      <c r="I261" s="44">
        <f t="shared" si="29"/>
        <v>267</v>
      </c>
      <c r="J261" s="44">
        <f t="shared" si="30"/>
        <v>0</v>
      </c>
      <c r="K261" s="41"/>
      <c r="L261" s="41">
        <v>1.0</v>
      </c>
      <c r="M261" s="41">
        <v>1.0</v>
      </c>
      <c r="N261" s="41">
        <v>1.0</v>
      </c>
      <c r="O261" s="41">
        <v>1.0</v>
      </c>
      <c r="P261" s="41">
        <v>0.9444</v>
      </c>
      <c r="Q261" s="41">
        <v>1.0</v>
      </c>
      <c r="R261" s="41">
        <v>1.0</v>
      </c>
      <c r="S261" s="41">
        <v>1.0</v>
      </c>
      <c r="T261" s="41">
        <v>0.9444</v>
      </c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5.75" customHeight="1">
      <c r="A262" s="35" t="s">
        <v>32</v>
      </c>
      <c r="B262" s="35" t="s">
        <v>34</v>
      </c>
      <c r="C262" s="35">
        <v>69.0</v>
      </c>
      <c r="D262" s="35">
        <v>1.5120524052E10</v>
      </c>
      <c r="E262" s="35">
        <v>2.41007003E8</v>
      </c>
      <c r="F262" s="39" t="s">
        <v>575</v>
      </c>
      <c r="G262" s="41" t="str">
        <f t="shared" si="27"/>
        <v>OK</v>
      </c>
      <c r="H262" s="44">
        <f t="shared" si="28"/>
        <v>1</v>
      </c>
      <c r="I262" s="44">
        <f t="shared" si="29"/>
        <v>220</v>
      </c>
      <c r="J262" s="44">
        <f t="shared" si="30"/>
        <v>0</v>
      </c>
      <c r="K262" s="41"/>
      <c r="L262" s="41">
        <v>1.0</v>
      </c>
      <c r="M262" s="41">
        <v>0.9444</v>
      </c>
      <c r="N262" s="41">
        <v>0.3889</v>
      </c>
      <c r="O262" s="41">
        <v>0.8333</v>
      </c>
      <c r="P262" s="41">
        <v>0.9444</v>
      </c>
      <c r="Q262" s="41">
        <v>0.8889</v>
      </c>
      <c r="R262" s="41">
        <v>0.4444</v>
      </c>
      <c r="S262" s="41">
        <v>1.0</v>
      </c>
      <c r="T262" s="41">
        <v>0.8889</v>
      </c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5.75" customHeight="1">
      <c r="A263" s="81"/>
      <c r="B263" s="81"/>
      <c r="C263" s="81"/>
      <c r="D263" s="81"/>
      <c r="E263" s="81"/>
      <c r="F263" s="81">
        <f>counta(F236:F262)</f>
        <v>26</v>
      </c>
      <c r="G263" s="41" t="str">
        <f t="shared" si="27"/>
        <v>Pending</v>
      </c>
      <c r="H263" s="44">
        <f t="shared" si="28"/>
        <v>-3</v>
      </c>
      <c r="I263" s="44">
        <f t="shared" si="29"/>
        <v>208</v>
      </c>
      <c r="J263" s="44">
        <f t="shared" si="30"/>
        <v>8</v>
      </c>
      <c r="K263" s="81"/>
      <c r="L263" s="82">
        <f t="shared" ref="L263:Z263" si="31">sum(L236:L262)/$F$263</f>
        <v>0.63675</v>
      </c>
      <c r="M263" s="82">
        <f t="shared" si="31"/>
        <v>0.8311846154</v>
      </c>
      <c r="N263" s="82">
        <f t="shared" si="31"/>
        <v>0.7692192308</v>
      </c>
      <c r="O263" s="82">
        <f t="shared" si="31"/>
        <v>0.8354653846</v>
      </c>
      <c r="P263" s="82">
        <f t="shared" si="31"/>
        <v>0.8012769231</v>
      </c>
      <c r="Q263" s="82">
        <f t="shared" si="31"/>
        <v>0.7734923077</v>
      </c>
      <c r="R263" s="82">
        <f t="shared" si="31"/>
        <v>0.7649615385</v>
      </c>
      <c r="S263" s="82">
        <f t="shared" si="31"/>
        <v>0.7329038462</v>
      </c>
      <c r="T263" s="82">
        <f t="shared" si="31"/>
        <v>0.7756384615</v>
      </c>
      <c r="U263" s="82">
        <f t="shared" si="31"/>
        <v>0</v>
      </c>
      <c r="V263" s="82">
        <f t="shared" si="31"/>
        <v>0</v>
      </c>
      <c r="W263" s="82">
        <f t="shared" si="31"/>
        <v>0</v>
      </c>
      <c r="X263" s="82">
        <f t="shared" si="31"/>
        <v>0</v>
      </c>
      <c r="Y263" s="82">
        <f t="shared" si="31"/>
        <v>0</v>
      </c>
      <c r="Z263" s="82">
        <f t="shared" si="31"/>
        <v>0</v>
      </c>
      <c r="AA263" s="9"/>
      <c r="AB263" s="9"/>
      <c r="AC263" s="9"/>
      <c r="AD263" s="9"/>
      <c r="AE263" s="9"/>
    </row>
    <row r="264" ht="15.75" customHeight="1">
      <c r="A264" s="9"/>
      <c r="B264" s="9"/>
      <c r="C264" s="9"/>
      <c r="D264" s="9"/>
      <c r="E264" s="9"/>
      <c r="F264" s="9"/>
      <c r="G264" s="41"/>
      <c r="H264" s="44"/>
      <c r="I264" s="44"/>
      <c r="J264" s="44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5.75" customHeight="1">
      <c r="A265" s="9"/>
      <c r="B265" s="9"/>
      <c r="C265" s="9"/>
      <c r="D265" s="9"/>
      <c r="E265" s="9"/>
      <c r="F265" s="9"/>
      <c r="G265" s="41"/>
      <c r="H265" s="44"/>
      <c r="I265" s="44"/>
      <c r="J265" s="44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5.75" customHeight="1">
      <c r="A266" s="9"/>
      <c r="B266" s="9"/>
      <c r="C266" s="9"/>
      <c r="D266" s="9"/>
      <c r="E266" s="9"/>
      <c r="F266" s="9"/>
      <c r="G266" s="41"/>
      <c r="H266" s="44"/>
      <c r="I266" s="44"/>
      <c r="J266" s="44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5.75" customHeight="1">
      <c r="A267" s="9"/>
      <c r="B267" s="9"/>
      <c r="C267" s="9"/>
      <c r="D267" s="9"/>
      <c r="E267" s="9"/>
      <c r="F267" s="9"/>
      <c r="G267" s="41"/>
      <c r="H267" s="44"/>
      <c r="I267" s="44"/>
      <c r="J267" s="44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</row>
    <row r="1001" ht="15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  <c r="AD1001" s="83"/>
      <c r="AE1001" s="83"/>
    </row>
    <row r="1002" ht="15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  <c r="AD1002" s="83"/>
      <c r="AE1002" s="83"/>
    </row>
    <row r="1003" ht="15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  <c r="AD1003" s="83"/>
      <c r="AE1003" s="83"/>
    </row>
    <row r="1004" ht="15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  <c r="AD1004" s="83"/>
      <c r="AE1004" s="83"/>
    </row>
  </sheetData>
  <mergeCells count="6">
    <mergeCell ref="A1:O1"/>
    <mergeCell ref="A2:O2"/>
    <mergeCell ref="A3:O3"/>
    <mergeCell ref="A4:O4"/>
    <mergeCell ref="A164:K164"/>
    <mergeCell ref="A234:K234"/>
  </mergeCells>
  <conditionalFormatting sqref="F7:F163 F165:F233 F235:F267">
    <cfRule type="expression" dxfId="0" priority="1">
      <formula>AND(H7&lt;0,K7&gt;=J7)</formula>
    </cfRule>
  </conditionalFormatting>
  <conditionalFormatting sqref="F7:F163 F165:F233 F235:F267">
    <cfRule type="expression" dxfId="1" priority="2">
      <formula>AND(H7&lt;0,K7&lt;J7)</formula>
    </cfRule>
  </conditionalFormatting>
  <conditionalFormatting sqref="F7:F163 F165:F233 F235:F267">
    <cfRule type="expression" dxfId="2" priority="3">
      <formula>H7&gt;=0</formula>
    </cfRule>
  </conditionalFormatting>
  <conditionalFormatting sqref="G7:G163 G165:G233 G235:G267">
    <cfRule type="expression" dxfId="0" priority="4">
      <formula>AND(H7&lt;0,K7&gt;=J7)</formula>
    </cfRule>
  </conditionalFormatting>
  <conditionalFormatting sqref="G7:G163 G165:G233 G235:G267">
    <cfRule type="expression" dxfId="3" priority="5">
      <formula>AND(H7&lt;0,K7&lt;J7)</formula>
    </cfRule>
  </conditionalFormatting>
  <conditionalFormatting sqref="G7:G163 G165:G233 G235:G267">
    <cfRule type="expression" dxfId="4" priority="6">
      <formula>H7&gt;=0</formula>
    </cfRule>
  </conditionalFormatting>
  <conditionalFormatting sqref="H7:H163 H165:H233 H235:H267">
    <cfRule type="cellIs" dxfId="0" priority="7" operator="greaterThanOrEqual">
      <formula>0.01</formula>
    </cfRule>
  </conditionalFormatting>
  <conditionalFormatting sqref="H7:H163 H165:H233 H235:H267">
    <cfRule type="cellIs" dxfId="7" priority="8" operator="lessThanOrEqual">
      <formula>-0.01</formula>
    </cfRule>
  </conditionalFormatting>
  <conditionalFormatting sqref="H7:H163 H165:H233 H235:H267">
    <cfRule type="cellIs" dxfId="4" priority="9" operator="equal">
      <formula>0</formula>
    </cfRule>
  </conditionalFormatting>
  <conditionalFormatting sqref="I7:I163 I165:I233 I235:I267">
    <cfRule type="expression" dxfId="0" priority="10">
      <formula>J7=0</formula>
    </cfRule>
  </conditionalFormatting>
  <conditionalFormatting sqref="I7:I163 I165:I233 I235:I267">
    <cfRule type="expression" dxfId="1" priority="11">
      <formula>J7&gt;0</formula>
    </cfRule>
  </conditionalFormatting>
  <conditionalFormatting sqref="J7:J163 J165:J233 J235:J267">
    <cfRule type="cellIs" dxfId="8" priority="12" operator="greaterThan">
      <formula>0</formula>
    </cfRule>
  </conditionalFormatting>
  <conditionalFormatting sqref="J7:J163 J165:J233 J235:J267">
    <cfRule type="cellIs" dxfId="0" priority="13" operator="equal">
      <formula>0</formula>
    </cfRule>
  </conditionalFormatting>
  <conditionalFormatting sqref="K7:K163 K165:K233 K235:K267">
    <cfRule type="expression" dxfId="0" priority="14">
      <formula>J7=0</formula>
    </cfRule>
  </conditionalFormatting>
  <conditionalFormatting sqref="K7:K163 K165:K233 K235:K267">
    <cfRule type="expression" dxfId="1" priority="15">
      <formula>and(J7&gt;0,J7&gt;K7)</formula>
    </cfRule>
  </conditionalFormatting>
  <conditionalFormatting sqref="K7:K163 K165:K233 K235:K267">
    <cfRule type="expression" dxfId="2" priority="16">
      <formula>or(J7=K7)</formula>
    </cfRule>
  </conditionalFormatting>
  <conditionalFormatting sqref="L7:Z267 AA233">
    <cfRule type="cellIs" dxfId="0" priority="17" operator="greaterThanOrEqual">
      <formula>"80.01%"</formula>
    </cfRule>
  </conditionalFormatting>
  <conditionalFormatting sqref="L7:Z267 AA233">
    <cfRule type="cellIs" dxfId="1" priority="18" operator="lessThanOrEqual">
      <formula>"79.99%"</formula>
    </cfRule>
  </conditionalFormatting>
  <conditionalFormatting sqref="L7:Z267 AA233">
    <cfRule type="cellIs" dxfId="4" priority="19" operator="equal">
      <formula>"80%"</formula>
    </cfRule>
  </conditionalFormatting>
  <printOptions/>
  <pageMargins bottom="0.75" footer="0.0" header="0.0" left="0.7" right="0.7" top="0.75"/>
  <pageSetup orientation="landscape"/>
  <drawing r:id="rId1"/>
</worksheet>
</file>