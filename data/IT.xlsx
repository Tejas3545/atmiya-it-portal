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" sheetId="1" r:id="rId4"/>
  </sheets>
  <definedNames/>
  <calcPr/>
  <extLst>
    <ext uri="GoogleSheetsCustomDataVersion2">
      <go:sheetsCustomData xmlns:go="http://customooxmlschemas.google.com/" r:id="rId5" roundtripDataChecksum="/ceCgalJ/q7BLhw2ehEx/0YCbH8rdDoZBQ0scSuKKXg="/>
    </ext>
  </extLst>
</workbook>
</file>

<file path=xl/sharedStrings.xml><?xml version="1.0" encoding="utf-8"?>
<sst xmlns="http://schemas.openxmlformats.org/spreadsheetml/2006/main" count="444" uniqueCount="165">
  <si>
    <t>Cumulative Attendance Report - Overall</t>
  </si>
  <si>
    <t>51 - Faculty of Engineering &amp; Technology</t>
  </si>
  <si>
    <t>005 - Information Technology</t>
  </si>
  <si>
    <t>B.TECH. INFORMATION TECHNOLOGY SEMESTER - 5 ATTENDANCE REPORT</t>
  </si>
  <si>
    <t>Div</t>
  </si>
  <si>
    <t>Batch</t>
  </si>
  <si>
    <t>Roll No</t>
  </si>
  <si>
    <t>Reg. No</t>
  </si>
  <si>
    <t>Enr. No.</t>
  </si>
  <si>
    <t>Student's Name</t>
  </si>
  <si>
    <t>Status</t>
  </si>
  <si>
    <t>Points Earns</t>
  </si>
  <si>
    <t xml:space="preserve">Total Hours attended </t>
  </si>
  <si>
    <t>Compensation Required in Hours</t>
  </si>
  <si>
    <t>Compensation Completed in 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</si>
  <si>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</si>
  <si>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</si>
  <si>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</si>
  <si>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</si>
  <si>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</si>
  <si>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</si>
  <si>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</si>
  <si>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</si>
  <si>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</si>
  <si>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</si>
  <si>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</si>
  <si>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</si>
  <si>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</si>
  <si>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</si>
  <si>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</si>
  <si>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5A</t>
  </si>
  <si>
    <t>A1</t>
  </si>
  <si>
    <t>Parmar Vivek Anilbhai</t>
  </si>
  <si>
    <t>Acharya Shubham Hitesh.</t>
  </si>
  <si>
    <t>Baraiya Sohamkumar Kanubhai</t>
  </si>
  <si>
    <t>Bhalala Vrunda Sohilbhai</t>
  </si>
  <si>
    <t>Bhatt Yash Yogeshbhai</t>
  </si>
  <si>
    <t>Bhatu Hardik</t>
  </si>
  <si>
    <t>Bhayani Khushi Hareshbhai</t>
  </si>
  <si>
    <t>Bhuva Vraj Kamleshbhai</t>
  </si>
  <si>
    <t>Bodar Harsh Sureshbhai</t>
  </si>
  <si>
    <t>Chariya Karan Bhimji</t>
  </si>
  <si>
    <t>Chauhan Meetraj Dipakbhai</t>
  </si>
  <si>
    <t>Chavda Daivik Dhirajlal</t>
  </si>
  <si>
    <t>Chhatralia Gautami Rasikbhai</t>
  </si>
  <si>
    <t>Dabhi Bhakti Sagarsinh</t>
  </si>
  <si>
    <t>Dave Palak Kamalkumar</t>
  </si>
  <si>
    <t>Detroja Nandini Chunilal</t>
  </si>
  <si>
    <t>Dudhagara Krishaben Jayeshbhai</t>
  </si>
  <si>
    <t>Gadara Nipa Darshakbhai</t>
  </si>
  <si>
    <t>Gadhiya Nensi Khimji</t>
  </si>
  <si>
    <t>Garach Viraj Pradeepkumar</t>
  </si>
  <si>
    <t>Gondaliya Shubham Anilbhai</t>
  </si>
  <si>
    <t>Goraniya Harish Lakhabhai</t>
  </si>
  <si>
    <t>Govindiya Urvi Rameshbhai</t>
  </si>
  <si>
    <t>A2</t>
  </si>
  <si>
    <t>Hulani Rishabh Santoshbhai</t>
  </si>
  <si>
    <t>Kalola Yashviben Krushnadas</t>
  </si>
  <si>
    <t>Kapuriya Tirth Rajeshbhai</t>
  </si>
  <si>
    <t>Kasundra Krina Rajeshbhai</t>
  </si>
  <si>
    <t>Khunt Ayushi Vijaybhai</t>
  </si>
  <si>
    <t>Khunt Meet Mansukhbhai</t>
  </si>
  <si>
    <t>Krushna Pipalva</t>
  </si>
  <si>
    <t>Kushvaha Abhishek Arvindbhai</t>
  </si>
  <si>
    <t>Maheshwari Rajan</t>
  </si>
  <si>
    <t>Makwana Aditya Rajeshbhai</t>
  </si>
  <si>
    <t>Maru Sandeep Harishbhai</t>
  </si>
  <si>
    <t>Marvaniya Ashaben Natvarlal</t>
  </si>
  <si>
    <t>Muchhadiya Chandresh Hasmukh</t>
  </si>
  <si>
    <t>Nishant Mavani</t>
  </si>
  <si>
    <t>Pandya Khushi Rileshbhai</t>
  </si>
  <si>
    <t>Pankhaniya Ronak Rajubhai</t>
  </si>
  <si>
    <t>Parasaniya Hetvi Chetanbhai</t>
  </si>
  <si>
    <t>Parmar Dev Manishbhai</t>
  </si>
  <si>
    <t>Parmar Harivarsinh Vikramsinh</t>
  </si>
  <si>
    <t>Parmar Krishna Amarshibhai</t>
  </si>
  <si>
    <t>Parmar Palak Pravinbhai</t>
  </si>
  <si>
    <t>Parmar Shraddha Kishorbhai</t>
  </si>
  <si>
    <t>Prajapati Dipteshkumar Ashokkumar</t>
  </si>
  <si>
    <t>A3</t>
  </si>
  <si>
    <t>Raghavani Nilkumar Rajeshbhai</t>
  </si>
  <si>
    <t>Rupala Rutvi Kiritbhai</t>
  </si>
  <si>
    <t>Rupala Tanvi Kiritbhai</t>
  </si>
  <si>
    <t>Sankaliya Dhruv Vipulbhai</t>
  </si>
  <si>
    <t>Sankhavara Anjani Maganbhai</t>
  </si>
  <si>
    <t>Seladiya Prushti Nareshbhai</t>
  </si>
  <si>
    <t>Siddhapura Khushi Dipak</t>
  </si>
  <si>
    <t>Solanki Darshit Ashokbhai</t>
  </si>
  <si>
    <t>Solanki Mitrajsinh Mayursinh</t>
  </si>
  <si>
    <t>Songara Meet Bipin</t>
  </si>
  <si>
    <t>Talaviya Sakshi Shaileshbhai</t>
  </si>
  <si>
    <t>Vora Nandan Chhabilbhai</t>
  </si>
  <si>
    <t>Vyas Om Vinodbhai</t>
  </si>
  <si>
    <t>Ambaliya Krunal Kishorbhai</t>
  </si>
  <si>
    <t>Bhatt Kartikay Ketanbhai</t>
  </si>
  <si>
    <t>Bhindi Maharshi Yogesh</t>
  </si>
  <si>
    <t>Dave Parth Rashminkumar</t>
  </si>
  <si>
    <t>Ekvadiya Maulik Mahendrabhai</t>
  </si>
  <si>
    <t>Gadhiya Het Dipakbhai</t>
  </si>
  <si>
    <t>Gondaliya Rudra Vinodbhai</t>
  </si>
  <si>
    <t>Pandya Kunal Rohitbhai</t>
  </si>
  <si>
    <t>Pandya Kunj Dharmeshbhai</t>
  </si>
  <si>
    <t>B.TECH. INFORMATION TECHNOLOGY SEMESTER - 7 ATTENDANCE REPORT</t>
  </si>
  <si>
    <t>A</t>
  </si>
  <si>
    <t>Aghera Disney Manojbhai</t>
  </si>
  <si>
    <t>Baldha Prit Shaileshbhai</t>
  </si>
  <si>
    <t>Bhagiya Deep Dharmendrabhai</t>
  </si>
  <si>
    <t>Bhatt Meet Shaileshbhai</t>
  </si>
  <si>
    <t>Dal Jadeja Bhaktiba</t>
  </si>
  <si>
    <t>Davi Rahilkhan</t>
  </si>
  <si>
    <t>Dhakan Harsh Yogeshbhai</t>
  </si>
  <si>
    <t>Dhara Vikrambhai Boricha</t>
  </si>
  <si>
    <t>Hinsu Mansiben Hasmukhbhai</t>
  </si>
  <si>
    <t>Jadeja Harshdipsinh Pruthvirajsinh</t>
  </si>
  <si>
    <t>Jadeja Yogeshwariba Digvijaysinh</t>
  </si>
  <si>
    <t>Jethi Devam Vipul</t>
  </si>
  <si>
    <t>Jivani Hitkumar Pravinbhai</t>
  </si>
  <si>
    <t>Jiyanshi Devmurari</t>
  </si>
  <si>
    <t>Jogi Riya Krushnakant</t>
  </si>
  <si>
    <t>Khushal Maheshbhai Jethva</t>
  </si>
  <si>
    <t>Madhav Kanti Bhai Patoliya</t>
  </si>
  <si>
    <t>Mangaldasani Mahek Purandas</t>
  </si>
  <si>
    <t>Menpara Hit Jayeshkumar</t>
  </si>
  <si>
    <t>Murani Arnish Mahendrabhai</t>
  </si>
  <si>
    <t>Nagar Dhara Hareshbhai</t>
  </si>
  <si>
    <t>Narodiya Dipanshi Alpeshbhai</t>
  </si>
  <si>
    <t>Padhiyar Darshil Dilipbhai</t>
  </si>
  <si>
    <t>Parmar Diya Vipinbhai</t>
  </si>
  <si>
    <t>Parmar Tulsi Mehulkumar</t>
  </si>
  <si>
    <t>Raj Sisodiya</t>
  </si>
  <si>
    <t>Ramani Heer Lalitbhai</t>
  </si>
  <si>
    <t>Ramoliya Hetvi Jigneshbhai</t>
  </si>
  <si>
    <t>Ratanpara Kunj Manishbhai</t>
  </si>
  <si>
    <t>Savaliya Rajveen Khimjibhai</t>
  </si>
  <si>
    <t>Sodha Vivek Sanjaybhai</t>
  </si>
  <si>
    <t>Solanki Tejas Jaydeep</t>
  </si>
  <si>
    <t>Tarbundiya Bansi Thobhanbhai</t>
  </si>
  <si>
    <t>Timbadiya Bhumit Manojbhai</t>
  </si>
  <si>
    <t>Trivedi Nidhi Dharmendra</t>
  </si>
  <si>
    <t>Vadher Jignesh Lakhabhai</t>
  </si>
  <si>
    <t>Vaghela Devang Jiteshbhai</t>
  </si>
  <si>
    <t>Vaishnav Vraj Rajeshbhai</t>
  </si>
  <si>
    <t>Vasani Aditi Madhusudan</t>
  </si>
  <si>
    <t>Vora Harshvi Parag</t>
  </si>
  <si>
    <t>Zala Vishal Navinbhai</t>
  </si>
  <si>
    <t>Zinal Joshi</t>
  </si>
  <si>
    <t>Bera Dhruvkumar Jagdishbhai</t>
  </si>
  <si>
    <t>Bhadeliya Dev Chandubhai</t>
  </si>
  <si>
    <t>Bhuva Yashvi Timirkumar</t>
  </si>
  <si>
    <t>Chauhan Jay Prafulkumar</t>
  </si>
  <si>
    <t>Dobariya Nandani Somachandbhai</t>
  </si>
  <si>
    <t>Dodiya Bhavya Ashokbhai</t>
  </si>
  <si>
    <t>Gadhiya Harshul Prashantbhai</t>
  </si>
  <si>
    <t>Gohil Parthrajsinh Manoharsinh</t>
  </si>
  <si>
    <t>Karshala Chaitanya Paresh</t>
  </si>
  <si>
    <t>Kashiyani Bhadresh Dineshbhai</t>
  </si>
  <si>
    <t>Pipaliya Jay Jvalantbhai</t>
  </si>
  <si>
    <t>Rathod Keval Jiteshbhai</t>
  </si>
  <si>
    <t>Suchak Dhaval Parashbhai</t>
  </si>
  <si>
    <t>Suchak Vaibhav Bipinbhai</t>
  </si>
  <si>
    <t>Tank Nishang Maganbhai</t>
  </si>
  <si>
    <t>Vachhani Janil Sanjaybhai</t>
  </si>
  <si>
    <t>Vachhani Tej Mahesh</t>
  </si>
  <si>
    <t>Vadoliya Chirag Manishbhai</t>
  </si>
  <si>
    <t>Vaghamshi Mitraj Rupeshbhai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</si>
</sst>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4.0"/>
      <color theme="1"/>
      <name val="Calibri"/>
    </font>
    <font/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33333"/>
      <name val="Calibri"/>
    </font>
    <font>
      <color rgb="FF333333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6" fillId="2" fontId="4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shrinkToFit="0" wrapText="1"/>
    </xf>
    <xf borderId="11" fillId="3" fontId="6" numFmtId="10" xfId="0" applyAlignment="1" applyBorder="1" applyFill="1" applyFont="1" applyNumberFormat="1">
      <alignment horizontal="center" vertical="bottom"/>
    </xf>
    <xf borderId="11" fillId="4" fontId="6" numFmtId="4" xfId="0" applyAlignment="1" applyBorder="1" applyFill="1" applyFont="1" applyNumberFormat="1">
      <alignment horizontal="center" vertical="bottom"/>
    </xf>
    <xf borderId="11" fillId="5" fontId="6" numFmtId="0" xfId="0" applyAlignment="1" applyBorder="1" applyFill="1" applyFont="1">
      <alignment horizontal="center" vertical="bottom"/>
    </xf>
    <xf borderId="11" fillId="5" fontId="5" numFmtId="0" xfId="0" applyAlignment="1" applyBorder="1" applyFill="1" applyFont="1">
      <alignment vertical="bottom"/>
    </xf>
    <xf borderId="11" fillId="6" fontId="7" numFmtId="10" xfId="0" applyAlignment="1" applyBorder="1" applyFill="1" applyFont="1" applyNumberFormat="1">
      <alignment horizontal="center"/>
    </xf>
    <xf borderId="12" fillId="0" fontId="3" numFmtId="0" xfId="0" applyAlignment="1" applyBorder="1" applyFont="1">
      <alignment shrinkToFit="0" wrapText="1"/>
    </xf>
    <xf borderId="0" fillId="6" fontId="8" numFmtId="10" xfId="0" applyAlignment="1" applyFill="1" applyFont="1" applyNumberFormat="1">
      <alignment horizontal="center"/>
    </xf>
    <xf borderId="13" fillId="0" fontId="2" numFmtId="0" xfId="0" applyBorder="1" applyFont="1"/>
    <xf borderId="9" fillId="2" fontId="4" numFmtId="0" xfId="0" applyAlignment="1" applyBorder="1" applyFill="1" applyFont="1">
      <alignment horizontal="center" shrinkToFit="0" wrapText="1"/>
    </xf>
    <xf borderId="10" fillId="2" fontId="4" numFmtId="0" xfId="0" applyAlignment="1" applyBorder="1" applyFill="1" applyFont="1">
      <alignment horizontal="center" shrinkToFit="0" wrapText="1"/>
    </xf>
    <xf borderId="11" fillId="6" fontId="8" numFmtId="10" xfId="0" applyAlignment="1" applyBorder="1" applyFill="1" applyFont="1" applyNumberFormat="1">
      <alignment horizontal="center"/>
    </xf>
    <xf borderId="4" fillId="0" fontId="3" numFmtId="9" xfId="0" applyAlignment="1" applyBorder="1" applyFont="1" applyNumberFormat="1">
      <alignment readingOrder="0" shrinkToFit="0" wrapText="1"/>
    </xf>
    <xf borderId="4" fillId="0" fontId="3" numFmtId="10" xfId="0" applyAlignment="1" applyBorder="1" applyFont="1" applyNumberFormat="1">
      <alignment shrinkToFit="0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20.0"/>
    <col customWidth="1" min="6" max="6" width="40.0"/>
    <col customWidth="1" min="7" max="31" width="9.14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9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9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9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8"/>
      <c r="B5" s="9"/>
      <c r="C5" s="9"/>
      <c r="D5" s="9"/>
      <c r="E5" s="9"/>
      <c r="F5" s="9"/>
      <c r="G5" s="10"/>
      <c r="H5" s="11"/>
      <c r="I5" s="11"/>
      <c r="J5" s="11"/>
      <c r="K5" s="11"/>
      <c r="L5" s="9">
        <v>1.0</v>
      </c>
      <c r="M5" s="9">
        <v>1.0</v>
      </c>
      <c r="N5" s="9">
        <v>1.0</v>
      </c>
      <c r="O5" s="9">
        <v>1.0</v>
      </c>
      <c r="P5" s="12">
        <v>1.0</v>
      </c>
      <c r="Q5" s="12">
        <v>1.0</v>
      </c>
      <c r="R5" s="12">
        <v>1.0</v>
      </c>
      <c r="S5" s="13">
        <v>1.0</v>
      </c>
      <c r="T5" s="13">
        <v>0.0</v>
      </c>
      <c r="U5" s="12">
        <v>0.0</v>
      </c>
      <c r="V5" s="14">
        <v>0.0</v>
      </c>
      <c r="W5" s="14"/>
      <c r="X5" s="14">
        <v>0.0</v>
      </c>
      <c r="Y5" s="14">
        <v>0.0</v>
      </c>
      <c r="Z5" s="14">
        <v>0.0</v>
      </c>
      <c r="AA5" s="4"/>
      <c r="AB5" s="4"/>
      <c r="AC5" s="4"/>
      <c r="AD5" s="4"/>
      <c r="AE5" s="4"/>
    </row>
    <row r="6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7" t="s">
        <v>10</v>
      </c>
      <c r="H6" s="18" t="s">
        <v>11</v>
      </c>
      <c r="I6" s="18" t="s">
        <v>12</v>
      </c>
      <c r="J6" s="18" t="s">
        <v>13</v>
      </c>
      <c r="K6" s="18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19</v>
      </c>
      <c r="Q6" s="19" t="s">
        <v>20</v>
      </c>
      <c r="R6" s="19" t="s">
        <v>21</v>
      </c>
      <c r="S6" s="19" t="s">
        <v>22</v>
      </c>
      <c r="T6" s="19" t="s">
        <v>23</v>
      </c>
      <c r="U6" s="19" t="s">
        <v>24</v>
      </c>
      <c r="V6" s="19" t="s">
        <v>25</v>
      </c>
      <c r="W6" s="19" t="s">
        <v>26</v>
      </c>
      <c r="X6" s="19" t="s">
        <v>27</v>
      </c>
      <c r="Y6" s="19" t="s">
        <v>28</v>
      </c>
      <c r="Z6" s="19" t="s">
        <v>29</v>
      </c>
      <c r="AA6" s="4"/>
      <c r="AB6" s="4"/>
      <c r="AC6" s="4"/>
      <c r="AD6" s="4"/>
      <c r="AE6" s="4"/>
    </row>
    <row r="7">
      <c r="A7" s="20" t="s">
        <v>30</v>
      </c>
      <c r="B7" s="21" t="s">
        <v>31</v>
      </c>
      <c r="C7" s="21">
        <v>1.0</v>
      </c>
      <c r="D7" s="21">
        <v>1.5110423004E10</v>
      </c>
      <c r="E7" s="21">
        <v>2.30004035E8</v>
      </c>
      <c r="F7" s="22" t="s">
        <v>32</v>
      </c>
      <c r="G7" s="23" t="str">
        <f t="shared" ref="G7:G75" si="1">IF(H7&gt;=0,"OK",IF(K7&gt;=J7,"Completed","Pending"))</f>
        <v>Pending</v>
      </c>
      <c r="H7" s="24">
        <f t="shared" ref="H7:H75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-8</v>
      </c>
      <c r="I7" s="25">
        <f t="shared" ref="I7:I75" si="3">round(30*((L7*$L$5)+(M7*$M$5)+(N7*$N$5)+(O7*$O$5)+(P7*$P$5)+(Q7*$Q$5)+(R7*$R$5)+(S7*$S$5)+(T7*$T$5)+(U7*$U$5)+(V7*$V$5)+(W7*$W$5)+(X7*$X$5)+(Y7*$Y$5)+(Z7*$Z$5)+(AA7*$AA$5)),0)</f>
        <v>172</v>
      </c>
      <c r="J7" s="25">
        <f t="shared" ref="J7:J75" si="4">if(I7&lt;(24*($L$5+$M$5+$N$5+$O$5+$P$5+$Q$5+$R$5+$S$5+$T$5+$V$5+$U$5+$W$5+$X$5+$Y$5+$Z$5+$AA$5)),abs(I7-(24*($L$5+$M$5+$N$5+$O$5+$P$5+$Q$5+$R$5+$S$5+$T$5+$V$5+$U$5+$W$5+$X$5+$Y$5+$Z$5+$AA$5))),0)</f>
        <v>20</v>
      </c>
      <c r="K7" s="26"/>
      <c r="L7" s="27">
        <v>0.5714</v>
      </c>
      <c r="M7" s="27">
        <v>0.6111</v>
      </c>
      <c r="N7" s="27">
        <v>0.619</v>
      </c>
      <c r="O7" s="27">
        <v>0.9</v>
      </c>
      <c r="P7" s="27">
        <v>0.8</v>
      </c>
      <c r="Q7" s="27">
        <v>0.7619</v>
      </c>
      <c r="R7" s="27">
        <v>0.75</v>
      </c>
      <c r="S7" s="27">
        <v>0.7273</v>
      </c>
      <c r="T7" s="27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20" t="s">
        <v>30</v>
      </c>
      <c r="B8" s="21" t="s">
        <v>31</v>
      </c>
      <c r="C8" s="21">
        <v>2.0</v>
      </c>
      <c r="D8" s="21">
        <v>1.5110424048E10</v>
      </c>
      <c r="E8" s="21">
        <v>2.40004001E8</v>
      </c>
      <c r="F8" s="22" t="s">
        <v>33</v>
      </c>
      <c r="G8" s="23" t="str">
        <f t="shared" si="1"/>
        <v>OK</v>
      </c>
      <c r="H8" s="24">
        <f t="shared" si="2"/>
        <v>10</v>
      </c>
      <c r="I8" s="25">
        <f t="shared" si="3"/>
        <v>217</v>
      </c>
      <c r="J8" s="25">
        <f t="shared" si="4"/>
        <v>0</v>
      </c>
      <c r="K8" s="26"/>
      <c r="L8" s="27">
        <v>0.619</v>
      </c>
      <c r="M8" s="27">
        <v>1.0</v>
      </c>
      <c r="N8" s="27">
        <v>0.9048</v>
      </c>
      <c r="O8" s="27">
        <v>1.0</v>
      </c>
      <c r="P8" s="27">
        <v>1.0</v>
      </c>
      <c r="Q8" s="27">
        <v>1.0</v>
      </c>
      <c r="R8" s="27">
        <v>0.85</v>
      </c>
      <c r="S8" s="27">
        <v>0.8636</v>
      </c>
      <c r="T8" s="27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20" t="s">
        <v>30</v>
      </c>
      <c r="B9" s="21" t="s">
        <v>31</v>
      </c>
      <c r="C9" s="21">
        <v>3.0</v>
      </c>
      <c r="D9" s="21">
        <v>1.5110424059E10</v>
      </c>
      <c r="E9" s="21">
        <v>2.40004003E8</v>
      </c>
      <c r="F9" s="22" t="s">
        <v>34</v>
      </c>
      <c r="G9" s="23" t="str">
        <f t="shared" si="1"/>
        <v>OK</v>
      </c>
      <c r="H9" s="24">
        <f t="shared" si="2"/>
        <v>13</v>
      </c>
      <c r="I9" s="25">
        <f t="shared" si="3"/>
        <v>223</v>
      </c>
      <c r="J9" s="25">
        <f t="shared" si="4"/>
        <v>0</v>
      </c>
      <c r="K9" s="26"/>
      <c r="L9" s="27">
        <v>0.9048</v>
      </c>
      <c r="M9" s="27">
        <v>1.0</v>
      </c>
      <c r="N9" s="27">
        <v>1.0</v>
      </c>
      <c r="O9" s="27">
        <v>0.95</v>
      </c>
      <c r="P9" s="27">
        <v>0.95</v>
      </c>
      <c r="Q9" s="27">
        <v>0.8095</v>
      </c>
      <c r="R9" s="27">
        <v>0.9</v>
      </c>
      <c r="S9" s="27">
        <v>0.9091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20" t="s">
        <v>30</v>
      </c>
      <c r="B10" s="21" t="s">
        <v>31</v>
      </c>
      <c r="C10" s="21">
        <v>4.0</v>
      </c>
      <c r="D10" s="21">
        <v>1.5110424066E10</v>
      </c>
      <c r="E10" s="21">
        <v>2.40004004E8</v>
      </c>
      <c r="F10" s="22" t="s">
        <v>35</v>
      </c>
      <c r="G10" s="23" t="str">
        <f t="shared" si="1"/>
        <v>OK</v>
      </c>
      <c r="H10" s="24">
        <f t="shared" si="2"/>
        <v>3</v>
      </c>
      <c r="I10" s="25">
        <f t="shared" si="3"/>
        <v>200</v>
      </c>
      <c r="J10" s="25">
        <f t="shared" si="4"/>
        <v>0</v>
      </c>
      <c r="K10" s="26"/>
      <c r="L10" s="27">
        <v>0.8571</v>
      </c>
      <c r="M10" s="27">
        <v>0.7222</v>
      </c>
      <c r="N10" s="27">
        <v>0.9048</v>
      </c>
      <c r="O10" s="27">
        <v>0.8</v>
      </c>
      <c r="P10" s="27">
        <v>1.0</v>
      </c>
      <c r="Q10" s="27">
        <v>0.8095</v>
      </c>
      <c r="R10" s="27">
        <v>0.8</v>
      </c>
      <c r="S10" s="27">
        <v>0.7727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20" t="s">
        <v>30</v>
      </c>
      <c r="B11" s="21" t="s">
        <v>31</v>
      </c>
      <c r="C11" s="21">
        <v>5.0</v>
      </c>
      <c r="D11" s="21">
        <v>1.5110424062E10</v>
      </c>
      <c r="E11" s="21">
        <v>2.40004005E8</v>
      </c>
      <c r="F11" s="22" t="s">
        <v>36</v>
      </c>
      <c r="G11" s="23" t="str">
        <f t="shared" si="1"/>
        <v>Pending</v>
      </c>
      <c r="H11" s="24">
        <f t="shared" si="2"/>
        <v>-7</v>
      </c>
      <c r="I11" s="25">
        <f t="shared" si="3"/>
        <v>176</v>
      </c>
      <c r="J11" s="25">
        <f t="shared" si="4"/>
        <v>16</v>
      </c>
      <c r="K11" s="26"/>
      <c r="L11" s="27">
        <v>0.2381</v>
      </c>
      <c r="M11" s="27">
        <v>0.9444</v>
      </c>
      <c r="N11" s="27">
        <v>0.9048</v>
      </c>
      <c r="O11" s="27">
        <v>0.7</v>
      </c>
      <c r="P11" s="27">
        <v>0.65</v>
      </c>
      <c r="Q11" s="27">
        <v>0.8095</v>
      </c>
      <c r="R11" s="27">
        <v>0.95</v>
      </c>
      <c r="S11" s="27">
        <v>0.6818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0" t="s">
        <v>30</v>
      </c>
      <c r="B12" s="21" t="s">
        <v>31</v>
      </c>
      <c r="C12" s="21">
        <v>6.0</v>
      </c>
      <c r="D12" s="21">
        <v>1.5110424046E10</v>
      </c>
      <c r="E12" s="21">
        <v>2.40004006E8</v>
      </c>
      <c r="F12" s="22" t="s">
        <v>37</v>
      </c>
      <c r="G12" s="23" t="str">
        <f t="shared" si="1"/>
        <v>OK</v>
      </c>
      <c r="H12" s="24">
        <f t="shared" si="2"/>
        <v>16</v>
      </c>
      <c r="I12" s="25">
        <f t="shared" si="3"/>
        <v>231</v>
      </c>
      <c r="J12" s="25">
        <f t="shared" si="4"/>
        <v>0</v>
      </c>
      <c r="K12" s="26"/>
      <c r="L12" s="27">
        <v>1.0</v>
      </c>
      <c r="M12" s="27">
        <v>1.0</v>
      </c>
      <c r="N12" s="27">
        <v>1.0</v>
      </c>
      <c r="O12" s="27">
        <v>1.0</v>
      </c>
      <c r="P12" s="27">
        <v>1.0</v>
      </c>
      <c r="Q12" s="27">
        <v>0.7619</v>
      </c>
      <c r="R12" s="27">
        <v>1.0</v>
      </c>
      <c r="S12" s="27">
        <v>0.9545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0" t="s">
        <v>30</v>
      </c>
      <c r="B13" s="21" t="s">
        <v>31</v>
      </c>
      <c r="C13" s="21">
        <v>7.0</v>
      </c>
      <c r="D13" s="21">
        <v>1.5110424011E10</v>
      </c>
      <c r="E13" s="21">
        <v>2.40004007E8</v>
      </c>
      <c r="F13" s="22" t="s">
        <v>38</v>
      </c>
      <c r="G13" s="23" t="str">
        <f t="shared" si="1"/>
        <v>Pending</v>
      </c>
      <c r="H13" s="24">
        <f t="shared" si="2"/>
        <v>-15</v>
      </c>
      <c r="I13" s="25">
        <f t="shared" si="3"/>
        <v>156</v>
      </c>
      <c r="J13" s="25">
        <f t="shared" si="4"/>
        <v>36</v>
      </c>
      <c r="K13" s="26"/>
      <c r="L13" s="27">
        <v>0.7619</v>
      </c>
      <c r="M13" s="27">
        <v>0.5556</v>
      </c>
      <c r="N13" s="27">
        <v>0.7143</v>
      </c>
      <c r="O13" s="27">
        <v>0.65</v>
      </c>
      <c r="P13" s="27">
        <v>0.55</v>
      </c>
      <c r="Q13" s="27">
        <v>0.4762</v>
      </c>
      <c r="R13" s="27">
        <v>0.8</v>
      </c>
      <c r="S13" s="27">
        <v>0.6818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0" t="s">
        <v>30</v>
      </c>
      <c r="B14" s="21" t="s">
        <v>31</v>
      </c>
      <c r="C14" s="21">
        <v>8.0</v>
      </c>
      <c r="D14" s="21">
        <v>1.5110424058E10</v>
      </c>
      <c r="E14" s="21">
        <v>2.40004009E8</v>
      </c>
      <c r="F14" s="22" t="s">
        <v>39</v>
      </c>
      <c r="G14" s="23" t="str">
        <f t="shared" si="1"/>
        <v>OK</v>
      </c>
      <c r="H14" s="24">
        <f t="shared" si="2"/>
        <v>18</v>
      </c>
      <c r="I14" s="25">
        <f t="shared" si="3"/>
        <v>234</v>
      </c>
      <c r="J14" s="25">
        <f t="shared" si="4"/>
        <v>0</v>
      </c>
      <c r="K14" s="26"/>
      <c r="L14" s="27">
        <v>1.0</v>
      </c>
      <c r="M14" s="27">
        <v>1.0</v>
      </c>
      <c r="N14" s="27">
        <v>1.0</v>
      </c>
      <c r="O14" s="27">
        <v>1.0</v>
      </c>
      <c r="P14" s="27">
        <v>1.0</v>
      </c>
      <c r="Q14" s="27">
        <v>1.0</v>
      </c>
      <c r="R14" s="27">
        <v>0.9</v>
      </c>
      <c r="S14" s="27">
        <v>0.9091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0" t="s">
        <v>30</v>
      </c>
      <c r="B15" s="21" t="s">
        <v>31</v>
      </c>
      <c r="C15" s="21">
        <v>9.0</v>
      </c>
      <c r="D15" s="21">
        <v>1.511042403E10</v>
      </c>
      <c r="E15" s="21">
        <v>2.40004011E8</v>
      </c>
      <c r="F15" s="22" t="s">
        <v>40</v>
      </c>
      <c r="G15" s="23" t="str">
        <f t="shared" si="1"/>
        <v>OK</v>
      </c>
      <c r="H15" s="24">
        <f t="shared" si="2"/>
        <v>18</v>
      </c>
      <c r="I15" s="25">
        <f t="shared" si="3"/>
        <v>234</v>
      </c>
      <c r="J15" s="25">
        <f t="shared" si="4"/>
        <v>0</v>
      </c>
      <c r="K15" s="26"/>
      <c r="L15" s="27">
        <v>0.8571</v>
      </c>
      <c r="M15" s="27">
        <v>1.0</v>
      </c>
      <c r="N15" s="27">
        <v>1.0</v>
      </c>
      <c r="O15" s="27">
        <v>1.0</v>
      </c>
      <c r="P15" s="27">
        <v>1.0</v>
      </c>
      <c r="Q15" s="27">
        <v>0.9524</v>
      </c>
      <c r="R15" s="27">
        <v>1.0</v>
      </c>
      <c r="S15" s="27">
        <v>1.0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20" t="s">
        <v>30</v>
      </c>
      <c r="B16" s="21" t="s">
        <v>31</v>
      </c>
      <c r="C16" s="21">
        <v>10.0</v>
      </c>
      <c r="D16" s="21">
        <v>1.5110424076E10</v>
      </c>
      <c r="E16" s="21">
        <v>2.40004012E8</v>
      </c>
      <c r="F16" s="22" t="s">
        <v>41</v>
      </c>
      <c r="G16" s="23" t="str">
        <f t="shared" si="1"/>
        <v>Pending</v>
      </c>
      <c r="H16" s="24">
        <f t="shared" si="2"/>
        <v>-21</v>
      </c>
      <c r="I16" s="25">
        <f t="shared" si="3"/>
        <v>142</v>
      </c>
      <c r="J16" s="25">
        <f t="shared" si="4"/>
        <v>50</v>
      </c>
      <c r="K16" s="26"/>
      <c r="L16" s="27">
        <v>0.0</v>
      </c>
      <c r="M16" s="27">
        <v>0.0</v>
      </c>
      <c r="N16" s="27">
        <v>0.4286</v>
      </c>
      <c r="O16" s="27">
        <v>1.0</v>
      </c>
      <c r="P16" s="27">
        <v>1.0</v>
      </c>
      <c r="Q16" s="27">
        <v>0.8095</v>
      </c>
      <c r="R16" s="27">
        <v>0.85</v>
      </c>
      <c r="S16" s="27">
        <v>0.6364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20" t="s">
        <v>30</v>
      </c>
      <c r="B17" s="21" t="s">
        <v>31</v>
      </c>
      <c r="C17" s="21">
        <v>11.0</v>
      </c>
      <c r="D17" s="21">
        <v>1.5110424026E10</v>
      </c>
      <c r="E17" s="21">
        <v>2.40004013E8</v>
      </c>
      <c r="F17" s="22" t="s">
        <v>42</v>
      </c>
      <c r="G17" s="23" t="str">
        <f t="shared" si="1"/>
        <v>Pending</v>
      </c>
      <c r="H17" s="24">
        <f t="shared" si="2"/>
        <v>-40</v>
      </c>
      <c r="I17" s="25">
        <f t="shared" si="3"/>
        <v>97</v>
      </c>
      <c r="J17" s="25">
        <f t="shared" si="4"/>
        <v>95</v>
      </c>
      <c r="K17" s="26"/>
      <c r="L17" s="27">
        <v>0.1905</v>
      </c>
      <c r="M17" s="27">
        <v>0.2222</v>
      </c>
      <c r="N17" s="27">
        <v>0.5238</v>
      </c>
      <c r="O17" s="27">
        <v>0.15</v>
      </c>
      <c r="P17" s="27">
        <v>0.45</v>
      </c>
      <c r="Q17" s="27">
        <v>0.4762</v>
      </c>
      <c r="R17" s="27">
        <v>0.85</v>
      </c>
      <c r="S17" s="27">
        <v>0.3636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20" t="s">
        <v>30</v>
      </c>
      <c r="B18" s="21" t="s">
        <v>31</v>
      </c>
      <c r="C18" s="21">
        <v>12.0</v>
      </c>
      <c r="D18" s="21">
        <v>1.5110424021E10</v>
      </c>
      <c r="E18" s="21">
        <v>2.40004014E8</v>
      </c>
      <c r="F18" s="22" t="s">
        <v>43</v>
      </c>
      <c r="G18" s="23" t="str">
        <f t="shared" si="1"/>
        <v>OK</v>
      </c>
      <c r="H18" s="24">
        <f t="shared" si="2"/>
        <v>20</v>
      </c>
      <c r="I18" s="25">
        <f t="shared" si="3"/>
        <v>240</v>
      </c>
      <c r="J18" s="25">
        <f t="shared" si="4"/>
        <v>0</v>
      </c>
      <c r="K18" s="26"/>
      <c r="L18" s="27">
        <v>1.0</v>
      </c>
      <c r="M18" s="27">
        <v>1.0</v>
      </c>
      <c r="N18" s="27">
        <v>1.0</v>
      </c>
      <c r="O18" s="27">
        <v>1.0</v>
      </c>
      <c r="P18" s="27">
        <v>1.0</v>
      </c>
      <c r="Q18" s="27">
        <v>1.0</v>
      </c>
      <c r="R18" s="27">
        <v>1.0</v>
      </c>
      <c r="S18" s="27">
        <v>1.0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20" t="s">
        <v>30</v>
      </c>
      <c r="B19" s="21" t="s">
        <v>31</v>
      </c>
      <c r="C19" s="21">
        <v>13.0</v>
      </c>
      <c r="D19" s="21">
        <v>1.5110424067E10</v>
      </c>
      <c r="E19" s="21">
        <v>2.40004015E8</v>
      </c>
      <c r="F19" s="22" t="s">
        <v>44</v>
      </c>
      <c r="G19" s="23" t="str">
        <f t="shared" si="1"/>
        <v>OK</v>
      </c>
      <c r="H19" s="24">
        <f t="shared" si="2"/>
        <v>8</v>
      </c>
      <c r="I19" s="25">
        <f t="shared" si="3"/>
        <v>211</v>
      </c>
      <c r="J19" s="25">
        <f t="shared" si="4"/>
        <v>0</v>
      </c>
      <c r="K19" s="26"/>
      <c r="L19" s="27">
        <v>0.7619</v>
      </c>
      <c r="M19" s="27">
        <v>1.0</v>
      </c>
      <c r="N19" s="27">
        <v>0.9048</v>
      </c>
      <c r="O19" s="27">
        <v>0.8</v>
      </c>
      <c r="P19" s="27">
        <v>0.8</v>
      </c>
      <c r="Q19" s="27">
        <v>1.0</v>
      </c>
      <c r="R19" s="27">
        <v>0.85</v>
      </c>
      <c r="S19" s="27">
        <v>0.9091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20" t="s">
        <v>30</v>
      </c>
      <c r="B20" s="21" t="s">
        <v>31</v>
      </c>
      <c r="C20" s="21">
        <v>14.0</v>
      </c>
      <c r="D20" s="21">
        <v>1.5110424016E10</v>
      </c>
      <c r="E20" s="21">
        <v>2.40004016E8</v>
      </c>
      <c r="F20" s="22" t="s">
        <v>45</v>
      </c>
      <c r="G20" s="23" t="str">
        <f t="shared" si="1"/>
        <v>OK</v>
      </c>
      <c r="H20" s="24">
        <f t="shared" si="2"/>
        <v>12</v>
      </c>
      <c r="I20" s="25">
        <f t="shared" si="3"/>
        <v>220</v>
      </c>
      <c r="J20" s="25">
        <f t="shared" si="4"/>
        <v>0</v>
      </c>
      <c r="K20" s="26"/>
      <c r="L20" s="27">
        <v>1.0</v>
      </c>
      <c r="M20" s="27">
        <v>1.0</v>
      </c>
      <c r="N20" s="27">
        <v>0.7143</v>
      </c>
      <c r="O20" s="27">
        <v>0.9</v>
      </c>
      <c r="P20" s="27">
        <v>1.0</v>
      </c>
      <c r="Q20" s="27">
        <v>1.0</v>
      </c>
      <c r="R20" s="27">
        <v>0.85</v>
      </c>
      <c r="S20" s="27">
        <v>0.8636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15.75" customHeight="1">
      <c r="A21" s="20" t="s">
        <v>30</v>
      </c>
      <c r="B21" s="21" t="s">
        <v>31</v>
      </c>
      <c r="C21" s="21">
        <v>15.0</v>
      </c>
      <c r="D21" s="21">
        <v>1.5110424005E10</v>
      </c>
      <c r="E21" s="21">
        <v>2.40004017E8</v>
      </c>
      <c r="F21" s="22" t="s">
        <v>46</v>
      </c>
      <c r="G21" s="23" t="str">
        <f t="shared" si="1"/>
        <v>OK</v>
      </c>
      <c r="H21" s="24">
        <f t="shared" si="2"/>
        <v>9</v>
      </c>
      <c r="I21" s="25">
        <f t="shared" si="3"/>
        <v>213</v>
      </c>
      <c r="J21" s="25">
        <f t="shared" si="4"/>
        <v>0</v>
      </c>
      <c r="K21" s="26"/>
      <c r="L21" s="27">
        <v>0.7619</v>
      </c>
      <c r="M21" s="27">
        <v>1.0</v>
      </c>
      <c r="N21" s="27">
        <v>0.9048</v>
      </c>
      <c r="O21" s="27">
        <v>0.9</v>
      </c>
      <c r="P21" s="27">
        <v>0.9</v>
      </c>
      <c r="Q21" s="27">
        <v>0.8571</v>
      </c>
      <c r="R21" s="27">
        <v>0.9</v>
      </c>
      <c r="S21" s="27">
        <v>0.8636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5.75" customHeight="1">
      <c r="A22" s="20" t="s">
        <v>30</v>
      </c>
      <c r="B22" s="21" t="s">
        <v>31</v>
      </c>
      <c r="C22" s="21">
        <v>16.0</v>
      </c>
      <c r="D22" s="21">
        <v>1.5110424061E10</v>
      </c>
      <c r="E22" s="21">
        <v>2.40004018E8</v>
      </c>
      <c r="F22" s="22" t="s">
        <v>47</v>
      </c>
      <c r="G22" s="23" t="str">
        <f t="shared" si="1"/>
        <v>Pending</v>
      </c>
      <c r="H22" s="24">
        <f t="shared" si="2"/>
        <v>-78</v>
      </c>
      <c r="I22" s="25">
        <f t="shared" si="3"/>
        <v>6</v>
      </c>
      <c r="J22" s="25">
        <f t="shared" si="4"/>
        <v>186</v>
      </c>
      <c r="K22" s="26"/>
      <c r="L22" s="27">
        <v>0.0</v>
      </c>
      <c r="M22" s="27">
        <v>0.0</v>
      </c>
      <c r="N22" s="27">
        <v>0.0476</v>
      </c>
      <c r="O22" s="27">
        <v>0.0</v>
      </c>
      <c r="P22" s="27">
        <v>0.0</v>
      </c>
      <c r="Q22" s="27">
        <v>0.0476</v>
      </c>
      <c r="R22" s="27">
        <v>0.05</v>
      </c>
      <c r="S22" s="27">
        <v>0.0455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5.75" customHeight="1">
      <c r="A23" s="20" t="s">
        <v>30</v>
      </c>
      <c r="B23" s="21" t="s">
        <v>31</v>
      </c>
      <c r="C23" s="21">
        <v>17.0</v>
      </c>
      <c r="D23" s="21">
        <v>1.5110424027E10</v>
      </c>
      <c r="E23" s="21">
        <v>2.40004019E8</v>
      </c>
      <c r="F23" s="22" t="s">
        <v>48</v>
      </c>
      <c r="G23" s="23" t="str">
        <f t="shared" si="1"/>
        <v>OK</v>
      </c>
      <c r="H23" s="24">
        <f t="shared" si="2"/>
        <v>20</v>
      </c>
      <c r="I23" s="25">
        <f t="shared" si="3"/>
        <v>240</v>
      </c>
      <c r="J23" s="25">
        <f t="shared" si="4"/>
        <v>0</v>
      </c>
      <c r="K23" s="26"/>
      <c r="L23" s="27">
        <v>1.0</v>
      </c>
      <c r="M23" s="27">
        <v>1.0</v>
      </c>
      <c r="N23" s="27">
        <v>1.0</v>
      </c>
      <c r="O23" s="27">
        <v>1.0</v>
      </c>
      <c r="P23" s="27">
        <v>1.0</v>
      </c>
      <c r="Q23" s="27">
        <v>1.0</v>
      </c>
      <c r="R23" s="27">
        <v>1.0</v>
      </c>
      <c r="S23" s="27">
        <v>1.0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5.75" customHeight="1">
      <c r="A24" s="20" t="s">
        <v>30</v>
      </c>
      <c r="B24" s="21" t="s">
        <v>31</v>
      </c>
      <c r="C24" s="21">
        <v>18.0</v>
      </c>
      <c r="D24" s="21">
        <v>1.5110424084E10</v>
      </c>
      <c r="E24" s="21">
        <v>2.4000402E8</v>
      </c>
      <c r="F24" s="22" t="s">
        <v>49</v>
      </c>
      <c r="G24" s="23" t="str">
        <f t="shared" si="1"/>
        <v>OK</v>
      </c>
      <c r="H24" s="24">
        <f t="shared" si="2"/>
        <v>20</v>
      </c>
      <c r="I24" s="25">
        <f t="shared" si="3"/>
        <v>240</v>
      </c>
      <c r="J24" s="25">
        <f t="shared" si="4"/>
        <v>0</v>
      </c>
      <c r="K24" s="26"/>
      <c r="L24" s="27">
        <v>1.0</v>
      </c>
      <c r="M24" s="27">
        <v>1.0</v>
      </c>
      <c r="N24" s="27">
        <v>1.0</v>
      </c>
      <c r="O24" s="27">
        <v>1.0</v>
      </c>
      <c r="P24" s="27">
        <v>1.0</v>
      </c>
      <c r="Q24" s="27">
        <v>1.0</v>
      </c>
      <c r="R24" s="27">
        <v>1.0</v>
      </c>
      <c r="S24" s="27">
        <v>1.0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5.75" customHeight="1">
      <c r="A25" s="20" t="s">
        <v>30</v>
      </c>
      <c r="B25" s="21" t="s">
        <v>31</v>
      </c>
      <c r="C25" s="21">
        <v>19.0</v>
      </c>
      <c r="D25" s="21">
        <v>1.5110424093E10</v>
      </c>
      <c r="E25" s="21">
        <v>2.40004021E8</v>
      </c>
      <c r="F25" s="22" t="s">
        <v>50</v>
      </c>
      <c r="G25" s="23" t="str">
        <f t="shared" si="1"/>
        <v>Pending</v>
      </c>
      <c r="H25" s="24">
        <f t="shared" si="2"/>
        <v>-13</v>
      </c>
      <c r="I25" s="25">
        <f t="shared" si="3"/>
        <v>160</v>
      </c>
      <c r="J25" s="25">
        <f t="shared" si="4"/>
        <v>32</v>
      </c>
      <c r="K25" s="26"/>
      <c r="L25" s="27">
        <v>0.4762</v>
      </c>
      <c r="M25" s="27">
        <v>1.0</v>
      </c>
      <c r="N25" s="27">
        <v>0.9048</v>
      </c>
      <c r="O25" s="27">
        <v>1.0</v>
      </c>
      <c r="P25" s="27">
        <v>0.9</v>
      </c>
      <c r="Q25" s="27">
        <v>0.0</v>
      </c>
      <c r="R25" s="27">
        <v>0.1</v>
      </c>
      <c r="S25" s="27">
        <v>0.9545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5.75" customHeight="1">
      <c r="A26" s="20" t="s">
        <v>30</v>
      </c>
      <c r="B26" s="21" t="s">
        <v>31</v>
      </c>
      <c r="C26" s="21">
        <v>20.0</v>
      </c>
      <c r="D26" s="21">
        <v>1.511042407E10</v>
      </c>
      <c r="E26" s="21">
        <v>2.40004022E8</v>
      </c>
      <c r="F26" s="22" t="s">
        <v>51</v>
      </c>
      <c r="G26" s="23" t="str">
        <f t="shared" si="1"/>
        <v>Pending</v>
      </c>
      <c r="H26" s="24">
        <f t="shared" si="2"/>
        <v>-4</v>
      </c>
      <c r="I26" s="25">
        <f t="shared" si="3"/>
        <v>183</v>
      </c>
      <c r="J26" s="25">
        <f t="shared" si="4"/>
        <v>9</v>
      </c>
      <c r="K26" s="26"/>
      <c r="L26" s="27">
        <v>0.6667</v>
      </c>
      <c r="M26" s="27">
        <v>0.7222</v>
      </c>
      <c r="N26" s="27">
        <v>0.7619</v>
      </c>
      <c r="O26" s="27">
        <v>0.8</v>
      </c>
      <c r="P26" s="27">
        <v>0.8</v>
      </c>
      <c r="Q26" s="27">
        <v>0.7619</v>
      </c>
      <c r="R26" s="27">
        <v>0.85</v>
      </c>
      <c r="S26" s="27">
        <v>0.7273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5.75" customHeight="1">
      <c r="A27" s="20" t="s">
        <v>30</v>
      </c>
      <c r="B27" s="21" t="s">
        <v>31</v>
      </c>
      <c r="C27" s="21">
        <v>21.0</v>
      </c>
      <c r="D27" s="21">
        <v>1.5110424034E10</v>
      </c>
      <c r="E27" s="21">
        <v>2.40004023E8</v>
      </c>
      <c r="F27" s="22" t="s">
        <v>52</v>
      </c>
      <c r="G27" s="23" t="str">
        <f t="shared" si="1"/>
        <v>OK</v>
      </c>
      <c r="H27" s="24">
        <f t="shared" si="2"/>
        <v>16</v>
      </c>
      <c r="I27" s="25">
        <f t="shared" si="3"/>
        <v>230</v>
      </c>
      <c r="J27" s="25">
        <f t="shared" si="4"/>
        <v>0</v>
      </c>
      <c r="K27" s="26"/>
      <c r="L27" s="27">
        <v>1.0</v>
      </c>
      <c r="M27" s="27">
        <v>0.6667</v>
      </c>
      <c r="N27" s="27">
        <v>1.0</v>
      </c>
      <c r="O27" s="27">
        <v>1.0</v>
      </c>
      <c r="P27" s="27">
        <v>1.0</v>
      </c>
      <c r="Q27" s="27">
        <v>1.0</v>
      </c>
      <c r="R27" s="27">
        <v>1.0</v>
      </c>
      <c r="S27" s="27">
        <v>1.0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5.75" customHeight="1">
      <c r="A28" s="20" t="s">
        <v>30</v>
      </c>
      <c r="B28" s="21" t="s">
        <v>31</v>
      </c>
      <c r="C28" s="21">
        <v>22.0</v>
      </c>
      <c r="D28" s="21">
        <v>1.511042409E10</v>
      </c>
      <c r="E28" s="21">
        <v>2.40004024E8</v>
      </c>
      <c r="F28" s="22" t="s">
        <v>53</v>
      </c>
      <c r="G28" s="23" t="str">
        <f t="shared" si="1"/>
        <v>OK</v>
      </c>
      <c r="H28" s="24">
        <f t="shared" si="2"/>
        <v>17</v>
      </c>
      <c r="I28" s="25">
        <f t="shared" si="3"/>
        <v>234</v>
      </c>
      <c r="J28" s="25">
        <f t="shared" si="4"/>
        <v>0</v>
      </c>
      <c r="K28" s="26"/>
      <c r="L28" s="27">
        <v>1.0</v>
      </c>
      <c r="M28" s="27">
        <v>0.8889</v>
      </c>
      <c r="N28" s="27">
        <v>0.9048</v>
      </c>
      <c r="O28" s="27">
        <v>1.0</v>
      </c>
      <c r="P28" s="27">
        <v>1.0</v>
      </c>
      <c r="Q28" s="27">
        <v>1.0</v>
      </c>
      <c r="R28" s="27">
        <v>1.0</v>
      </c>
      <c r="S28" s="27">
        <v>1.0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20" t="s">
        <v>30</v>
      </c>
      <c r="B29" s="21" t="s">
        <v>31</v>
      </c>
      <c r="C29" s="21">
        <v>23.0</v>
      </c>
      <c r="D29" s="21">
        <v>1.5110424015E10</v>
      </c>
      <c r="E29" s="21">
        <v>2.40004025E8</v>
      </c>
      <c r="F29" s="22" t="s">
        <v>54</v>
      </c>
      <c r="G29" s="23" t="str">
        <f t="shared" si="1"/>
        <v>OK</v>
      </c>
      <c r="H29" s="24">
        <f t="shared" si="2"/>
        <v>14</v>
      </c>
      <c r="I29" s="25">
        <f t="shared" si="3"/>
        <v>226</v>
      </c>
      <c r="J29" s="25">
        <f t="shared" si="4"/>
        <v>0</v>
      </c>
      <c r="K29" s="26"/>
      <c r="L29" s="27">
        <v>1.0</v>
      </c>
      <c r="M29" s="27">
        <v>1.0</v>
      </c>
      <c r="N29" s="27">
        <v>1.0</v>
      </c>
      <c r="O29" s="27">
        <v>1.0</v>
      </c>
      <c r="P29" s="27">
        <v>1.0</v>
      </c>
      <c r="Q29" s="27">
        <v>1.0</v>
      </c>
      <c r="R29" s="27">
        <v>0.75</v>
      </c>
      <c r="S29" s="27">
        <v>0.7727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20" t="s">
        <v>30</v>
      </c>
      <c r="B30" s="21" t="s">
        <v>55</v>
      </c>
      <c r="C30" s="21">
        <v>24.0</v>
      </c>
      <c r="D30" s="21">
        <v>1.5110424001E10</v>
      </c>
      <c r="E30" s="21">
        <v>2.40004026E8</v>
      </c>
      <c r="F30" s="22" t="s">
        <v>56</v>
      </c>
      <c r="G30" s="23" t="str">
        <f t="shared" si="1"/>
        <v>OK</v>
      </c>
      <c r="H30" s="24">
        <f t="shared" si="2"/>
        <v>19</v>
      </c>
      <c r="I30" s="25">
        <f t="shared" si="3"/>
        <v>237</v>
      </c>
      <c r="J30" s="25">
        <f t="shared" si="4"/>
        <v>0</v>
      </c>
      <c r="K30" s="26"/>
      <c r="L30" s="27">
        <v>1.0</v>
      </c>
      <c r="M30" s="27">
        <v>1.0</v>
      </c>
      <c r="N30" s="27">
        <v>1.0</v>
      </c>
      <c r="O30" s="27">
        <v>1.0</v>
      </c>
      <c r="P30" s="27">
        <v>1.0</v>
      </c>
      <c r="Q30" s="27">
        <v>1.0</v>
      </c>
      <c r="R30" s="27">
        <v>0.8947</v>
      </c>
      <c r="S30" s="27">
        <v>1.0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20" t="s">
        <v>30</v>
      </c>
      <c r="B31" s="21" t="s">
        <v>55</v>
      </c>
      <c r="C31" s="21">
        <v>25.0</v>
      </c>
      <c r="D31" s="21">
        <v>1.5110424004E10</v>
      </c>
      <c r="E31" s="21">
        <v>2.40004027E8</v>
      </c>
      <c r="F31" s="22" t="s">
        <v>57</v>
      </c>
      <c r="G31" s="23" t="str">
        <f t="shared" si="1"/>
        <v>OK</v>
      </c>
      <c r="H31" s="24">
        <f t="shared" si="2"/>
        <v>12</v>
      </c>
      <c r="I31" s="25">
        <f t="shared" si="3"/>
        <v>220</v>
      </c>
      <c r="J31" s="25">
        <f t="shared" si="4"/>
        <v>0</v>
      </c>
      <c r="K31" s="26"/>
      <c r="L31" s="27">
        <v>0.619</v>
      </c>
      <c r="M31" s="27">
        <v>1.0</v>
      </c>
      <c r="N31" s="27">
        <v>0.9048</v>
      </c>
      <c r="O31" s="27">
        <v>1.0</v>
      </c>
      <c r="P31" s="27">
        <v>0.85</v>
      </c>
      <c r="Q31" s="27">
        <v>1.0</v>
      </c>
      <c r="R31" s="27">
        <v>1.0</v>
      </c>
      <c r="S31" s="27">
        <v>0.9545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20" t="s">
        <v>30</v>
      </c>
      <c r="B32" s="21" t="s">
        <v>55</v>
      </c>
      <c r="C32" s="21">
        <v>26.0</v>
      </c>
      <c r="D32" s="21">
        <v>1.5110424025E10</v>
      </c>
      <c r="E32" s="21">
        <v>2.40004028E8</v>
      </c>
      <c r="F32" s="22" t="s">
        <v>58</v>
      </c>
      <c r="G32" s="23" t="str">
        <f t="shared" si="1"/>
        <v>OK</v>
      </c>
      <c r="H32" s="24">
        <f t="shared" si="2"/>
        <v>18</v>
      </c>
      <c r="I32" s="25">
        <f t="shared" si="3"/>
        <v>236</v>
      </c>
      <c r="J32" s="25">
        <f t="shared" si="4"/>
        <v>0</v>
      </c>
      <c r="K32" s="26"/>
      <c r="L32" s="27">
        <v>0.8571</v>
      </c>
      <c r="M32" s="27">
        <v>1.0</v>
      </c>
      <c r="N32" s="27">
        <v>1.0</v>
      </c>
      <c r="O32" s="27">
        <v>1.0</v>
      </c>
      <c r="P32" s="27">
        <v>1.0</v>
      </c>
      <c r="Q32" s="27">
        <v>1.0</v>
      </c>
      <c r="R32" s="27">
        <v>1.0</v>
      </c>
      <c r="S32" s="27">
        <v>1.0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20" t="s">
        <v>30</v>
      </c>
      <c r="B33" s="21" t="s">
        <v>55</v>
      </c>
      <c r="C33" s="21">
        <v>27.0</v>
      </c>
      <c r="D33" s="21">
        <v>1.5110424003E10</v>
      </c>
      <c r="E33" s="21">
        <v>2.40004029E8</v>
      </c>
      <c r="F33" s="22" t="s">
        <v>59</v>
      </c>
      <c r="G33" s="23" t="str">
        <f t="shared" si="1"/>
        <v>OK</v>
      </c>
      <c r="H33" s="24">
        <f t="shared" si="2"/>
        <v>20</v>
      </c>
      <c r="I33" s="25">
        <f t="shared" si="3"/>
        <v>240</v>
      </c>
      <c r="J33" s="25">
        <f t="shared" si="4"/>
        <v>0</v>
      </c>
      <c r="K33" s="26"/>
      <c r="L33" s="27">
        <v>1.0</v>
      </c>
      <c r="M33" s="27">
        <v>1.0</v>
      </c>
      <c r="N33" s="27">
        <v>1.0</v>
      </c>
      <c r="O33" s="27">
        <v>1.0</v>
      </c>
      <c r="P33" s="27">
        <v>1.0</v>
      </c>
      <c r="Q33" s="27">
        <v>1.0</v>
      </c>
      <c r="R33" s="27">
        <v>1.0</v>
      </c>
      <c r="S33" s="27">
        <v>1.0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20" t="s">
        <v>30</v>
      </c>
      <c r="B34" s="21" t="s">
        <v>55</v>
      </c>
      <c r="C34" s="21">
        <v>28.0</v>
      </c>
      <c r="D34" s="21">
        <v>1.5110424043E10</v>
      </c>
      <c r="E34" s="21">
        <v>2.40004031E8</v>
      </c>
      <c r="F34" s="22" t="s">
        <v>60</v>
      </c>
      <c r="G34" s="23" t="str">
        <f t="shared" si="1"/>
        <v>OK</v>
      </c>
      <c r="H34" s="24">
        <f t="shared" si="2"/>
        <v>6</v>
      </c>
      <c r="I34" s="25">
        <f t="shared" si="3"/>
        <v>207</v>
      </c>
      <c r="J34" s="25">
        <f t="shared" si="4"/>
        <v>0</v>
      </c>
      <c r="K34" s="26"/>
      <c r="L34" s="27">
        <v>0.1905</v>
      </c>
      <c r="M34" s="27">
        <v>1.0</v>
      </c>
      <c r="N34" s="27">
        <v>0.7619</v>
      </c>
      <c r="O34" s="27">
        <v>1.0</v>
      </c>
      <c r="P34" s="27">
        <v>1.0</v>
      </c>
      <c r="Q34" s="27">
        <v>1.0</v>
      </c>
      <c r="R34" s="27">
        <v>1.0</v>
      </c>
      <c r="S34" s="27">
        <v>0.9545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20" t="s">
        <v>30</v>
      </c>
      <c r="B35" s="21" t="s">
        <v>55</v>
      </c>
      <c r="C35" s="21">
        <v>29.0</v>
      </c>
      <c r="D35" s="21">
        <v>1.5110424029E10</v>
      </c>
      <c r="E35" s="21">
        <v>2.40004032E8</v>
      </c>
      <c r="F35" s="22" t="s">
        <v>61</v>
      </c>
      <c r="G35" s="23" t="str">
        <f t="shared" si="1"/>
        <v>OK</v>
      </c>
      <c r="H35" s="24">
        <f t="shared" si="2"/>
        <v>20</v>
      </c>
      <c r="I35" s="25">
        <f t="shared" si="3"/>
        <v>240</v>
      </c>
      <c r="J35" s="25">
        <f t="shared" si="4"/>
        <v>0</v>
      </c>
      <c r="K35" s="26"/>
      <c r="L35" s="27">
        <v>1.0</v>
      </c>
      <c r="M35" s="27">
        <v>1.0</v>
      </c>
      <c r="N35" s="27">
        <v>1.0</v>
      </c>
      <c r="O35" s="27">
        <v>1.0</v>
      </c>
      <c r="P35" s="27">
        <v>1.0</v>
      </c>
      <c r="Q35" s="27">
        <v>1.0</v>
      </c>
      <c r="R35" s="27">
        <v>1.0</v>
      </c>
      <c r="S35" s="27">
        <v>1.0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20" t="s">
        <v>30</v>
      </c>
      <c r="B36" s="21" t="s">
        <v>55</v>
      </c>
      <c r="C36" s="21">
        <v>30.0</v>
      </c>
      <c r="D36" s="21">
        <v>1.5110424009E10</v>
      </c>
      <c r="E36" s="21">
        <v>2.40004034E8</v>
      </c>
      <c r="F36" s="22" t="s">
        <v>62</v>
      </c>
      <c r="G36" s="23" t="str">
        <f t="shared" si="1"/>
        <v>OK</v>
      </c>
      <c r="H36" s="24">
        <f t="shared" si="2"/>
        <v>12</v>
      </c>
      <c r="I36" s="25">
        <f t="shared" si="3"/>
        <v>220</v>
      </c>
      <c r="J36" s="25">
        <f t="shared" si="4"/>
        <v>0</v>
      </c>
      <c r="K36" s="26"/>
      <c r="L36" s="27">
        <v>0.619</v>
      </c>
      <c r="M36" s="27">
        <v>1.0</v>
      </c>
      <c r="N36" s="27">
        <v>0.9048</v>
      </c>
      <c r="O36" s="27">
        <v>1.0</v>
      </c>
      <c r="P36" s="27">
        <v>0.85</v>
      </c>
      <c r="Q36" s="27">
        <v>1.0</v>
      </c>
      <c r="R36" s="27">
        <v>1.0</v>
      </c>
      <c r="S36" s="27">
        <v>0.9545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20" t="s">
        <v>30</v>
      </c>
      <c r="B37" s="21" t="s">
        <v>55</v>
      </c>
      <c r="C37" s="21">
        <v>31.0</v>
      </c>
      <c r="D37" s="21">
        <v>1.5110424071E10</v>
      </c>
      <c r="E37" s="21">
        <v>2.40004035E8</v>
      </c>
      <c r="F37" s="22" t="s">
        <v>63</v>
      </c>
      <c r="G37" s="23" t="str">
        <f t="shared" si="1"/>
        <v>OK</v>
      </c>
      <c r="H37" s="24">
        <f t="shared" si="2"/>
        <v>4</v>
      </c>
      <c r="I37" s="25">
        <f t="shared" si="3"/>
        <v>201</v>
      </c>
      <c r="J37" s="25">
        <f t="shared" si="4"/>
        <v>0</v>
      </c>
      <c r="K37" s="26"/>
      <c r="L37" s="27">
        <v>0.8571</v>
      </c>
      <c r="M37" s="27">
        <v>0.8889</v>
      </c>
      <c r="N37" s="27">
        <v>0.9048</v>
      </c>
      <c r="O37" s="27">
        <v>0.8</v>
      </c>
      <c r="P37" s="27">
        <v>1.0</v>
      </c>
      <c r="Q37" s="27">
        <v>0.5238</v>
      </c>
      <c r="R37" s="27">
        <v>1.0</v>
      </c>
      <c r="S37" s="27">
        <v>0.7273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20" t="s">
        <v>30</v>
      </c>
      <c r="B38" s="21" t="s">
        <v>55</v>
      </c>
      <c r="C38" s="21">
        <v>32.0</v>
      </c>
      <c r="D38" s="21">
        <v>1.511042405E10</v>
      </c>
      <c r="E38" s="21">
        <v>2.40004037E8</v>
      </c>
      <c r="F38" s="22" t="s">
        <v>64</v>
      </c>
      <c r="G38" s="23" t="str">
        <f t="shared" si="1"/>
        <v>OK</v>
      </c>
      <c r="H38" s="24">
        <f t="shared" si="2"/>
        <v>14</v>
      </c>
      <c r="I38" s="25">
        <f t="shared" si="3"/>
        <v>225</v>
      </c>
      <c r="J38" s="25">
        <f t="shared" si="4"/>
        <v>0</v>
      </c>
      <c r="K38" s="26"/>
      <c r="L38" s="27">
        <v>0.7619</v>
      </c>
      <c r="M38" s="27">
        <v>1.0</v>
      </c>
      <c r="N38" s="27">
        <v>1.0</v>
      </c>
      <c r="O38" s="27">
        <v>0.95</v>
      </c>
      <c r="P38" s="27">
        <v>0.9</v>
      </c>
      <c r="Q38" s="27">
        <v>1.0</v>
      </c>
      <c r="R38" s="27">
        <v>0.8947</v>
      </c>
      <c r="S38" s="27">
        <v>1.0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20" t="s">
        <v>30</v>
      </c>
      <c r="B39" s="21" t="s">
        <v>55</v>
      </c>
      <c r="C39" s="21">
        <v>33.0</v>
      </c>
      <c r="D39" s="21">
        <v>1.5110424042E10</v>
      </c>
      <c r="E39" s="21">
        <v>2.40004039E8</v>
      </c>
      <c r="F39" s="22" t="s">
        <v>65</v>
      </c>
      <c r="G39" s="23" t="str">
        <f t="shared" si="1"/>
        <v>OK</v>
      </c>
      <c r="H39" s="24">
        <f t="shared" si="2"/>
        <v>20</v>
      </c>
      <c r="I39" s="25">
        <f t="shared" si="3"/>
        <v>240</v>
      </c>
      <c r="J39" s="25">
        <f t="shared" si="4"/>
        <v>0</v>
      </c>
      <c r="K39" s="26"/>
      <c r="L39" s="27">
        <v>1.0</v>
      </c>
      <c r="M39" s="27">
        <v>1.0</v>
      </c>
      <c r="N39" s="27">
        <v>1.0</v>
      </c>
      <c r="O39" s="27">
        <v>1.0</v>
      </c>
      <c r="P39" s="27">
        <v>1.0</v>
      </c>
      <c r="Q39" s="27">
        <v>1.0</v>
      </c>
      <c r="R39" s="27">
        <v>1.0</v>
      </c>
      <c r="S39" s="27">
        <v>1.0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5.75" customHeight="1">
      <c r="A40" s="20" t="s">
        <v>30</v>
      </c>
      <c r="B40" s="21" t="s">
        <v>55</v>
      </c>
      <c r="C40" s="21">
        <v>34.0</v>
      </c>
      <c r="D40" s="21">
        <v>1.5110424079E10</v>
      </c>
      <c r="E40" s="21">
        <v>2.4000404E8</v>
      </c>
      <c r="F40" s="22" t="s">
        <v>66</v>
      </c>
      <c r="G40" s="23" t="str">
        <f t="shared" si="1"/>
        <v>Pending</v>
      </c>
      <c r="H40" s="24">
        <f t="shared" si="2"/>
        <v>-7</v>
      </c>
      <c r="I40" s="25">
        <f t="shared" si="3"/>
        <v>175</v>
      </c>
      <c r="J40" s="25">
        <f t="shared" si="4"/>
        <v>17</v>
      </c>
      <c r="K40" s="26"/>
      <c r="L40" s="27">
        <v>0.0</v>
      </c>
      <c r="M40" s="27">
        <v>0.9444</v>
      </c>
      <c r="N40" s="27">
        <v>0.7143</v>
      </c>
      <c r="O40" s="27">
        <v>0.65</v>
      </c>
      <c r="P40" s="27">
        <v>0.85</v>
      </c>
      <c r="Q40" s="27">
        <v>0.8571</v>
      </c>
      <c r="R40" s="27">
        <v>0.8947</v>
      </c>
      <c r="S40" s="27">
        <v>0.9091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5.75" customHeight="1">
      <c r="A41" s="20" t="s">
        <v>30</v>
      </c>
      <c r="B41" s="21" t="s">
        <v>55</v>
      </c>
      <c r="C41" s="21">
        <v>35.0</v>
      </c>
      <c r="D41" s="21">
        <v>1.5110424002E10</v>
      </c>
      <c r="E41" s="21">
        <v>2.40004041E8</v>
      </c>
      <c r="F41" s="22" t="s">
        <v>67</v>
      </c>
      <c r="G41" s="23" t="str">
        <f t="shared" si="1"/>
        <v>OK</v>
      </c>
      <c r="H41" s="24">
        <f t="shared" si="2"/>
        <v>16</v>
      </c>
      <c r="I41" s="25">
        <f t="shared" si="3"/>
        <v>230</v>
      </c>
      <c r="J41" s="25">
        <f t="shared" si="4"/>
        <v>0</v>
      </c>
      <c r="K41" s="26"/>
      <c r="L41" s="27">
        <v>0.8571</v>
      </c>
      <c r="M41" s="27">
        <v>1.0</v>
      </c>
      <c r="N41" s="27">
        <v>1.0</v>
      </c>
      <c r="O41" s="27">
        <v>1.0</v>
      </c>
      <c r="P41" s="27">
        <v>1.0</v>
      </c>
      <c r="Q41" s="27">
        <v>1.0</v>
      </c>
      <c r="R41" s="27">
        <v>1.0</v>
      </c>
      <c r="S41" s="27">
        <v>0.8182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5.75" customHeight="1">
      <c r="A42" s="20" t="s">
        <v>30</v>
      </c>
      <c r="B42" s="21" t="s">
        <v>55</v>
      </c>
      <c r="C42" s="21">
        <v>36.0</v>
      </c>
      <c r="D42" s="21">
        <v>1.5110424007E10</v>
      </c>
      <c r="E42" s="21">
        <v>2.40004042E8</v>
      </c>
      <c r="F42" s="22" t="s">
        <v>68</v>
      </c>
      <c r="G42" s="23" t="str">
        <f t="shared" si="1"/>
        <v>Pending</v>
      </c>
      <c r="H42" s="24">
        <f t="shared" si="2"/>
        <v>-12</v>
      </c>
      <c r="I42" s="25">
        <f t="shared" si="3"/>
        <v>163</v>
      </c>
      <c r="J42" s="25">
        <f t="shared" si="4"/>
        <v>29</v>
      </c>
      <c r="K42" s="26"/>
      <c r="L42" s="27">
        <v>0.619</v>
      </c>
      <c r="M42" s="27">
        <v>0.6111</v>
      </c>
      <c r="N42" s="27">
        <v>0.8095</v>
      </c>
      <c r="O42" s="27">
        <v>0.95</v>
      </c>
      <c r="P42" s="27">
        <v>0.55</v>
      </c>
      <c r="Q42" s="27">
        <v>0.5714</v>
      </c>
      <c r="R42" s="27">
        <v>0.6316</v>
      </c>
      <c r="S42" s="27">
        <v>0.6818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20" t="s">
        <v>30</v>
      </c>
      <c r="B43" s="21" t="s">
        <v>55</v>
      </c>
      <c r="C43" s="21">
        <v>37.0</v>
      </c>
      <c r="D43" s="21">
        <v>1.5110424023E10</v>
      </c>
      <c r="E43" s="21">
        <v>2.40004043E8</v>
      </c>
      <c r="F43" s="22" t="s">
        <v>69</v>
      </c>
      <c r="G43" s="23" t="str">
        <f t="shared" si="1"/>
        <v>Pending</v>
      </c>
      <c r="H43" s="24">
        <f t="shared" si="2"/>
        <v>-15</v>
      </c>
      <c r="I43" s="25">
        <f t="shared" si="3"/>
        <v>157</v>
      </c>
      <c r="J43" s="25">
        <f t="shared" si="4"/>
        <v>35</v>
      </c>
      <c r="K43" s="26"/>
      <c r="L43" s="27">
        <v>0.381</v>
      </c>
      <c r="M43" s="27">
        <v>0.5</v>
      </c>
      <c r="N43" s="27">
        <v>0.6667</v>
      </c>
      <c r="O43" s="27">
        <v>0.85</v>
      </c>
      <c r="P43" s="27">
        <v>0.4</v>
      </c>
      <c r="Q43" s="27">
        <v>0.7619</v>
      </c>
      <c r="R43" s="27">
        <v>0.8947</v>
      </c>
      <c r="S43" s="27">
        <v>0.7727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20" t="s">
        <v>30</v>
      </c>
      <c r="B44" s="21" t="s">
        <v>55</v>
      </c>
      <c r="C44" s="21">
        <v>38.0</v>
      </c>
      <c r="D44" s="21">
        <v>1.511042408E10</v>
      </c>
      <c r="E44" s="21">
        <v>2.40004044E8</v>
      </c>
      <c r="F44" s="22" t="s">
        <v>70</v>
      </c>
      <c r="G44" s="23" t="str">
        <f t="shared" si="1"/>
        <v>OK</v>
      </c>
      <c r="H44" s="24">
        <f t="shared" si="2"/>
        <v>4</v>
      </c>
      <c r="I44" s="25">
        <f t="shared" si="3"/>
        <v>202</v>
      </c>
      <c r="J44" s="25">
        <f t="shared" si="4"/>
        <v>0</v>
      </c>
      <c r="K44" s="26"/>
      <c r="L44" s="27">
        <v>0.8095</v>
      </c>
      <c r="M44" s="27">
        <v>0.6667</v>
      </c>
      <c r="N44" s="27">
        <v>0.8095</v>
      </c>
      <c r="O44" s="27">
        <v>1.0</v>
      </c>
      <c r="P44" s="27">
        <v>0.95</v>
      </c>
      <c r="Q44" s="27">
        <v>0.6667</v>
      </c>
      <c r="R44" s="27">
        <v>1.0</v>
      </c>
      <c r="S44" s="27">
        <v>0.8182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20" t="s">
        <v>30</v>
      </c>
      <c r="B45" s="21" t="s">
        <v>55</v>
      </c>
      <c r="C45" s="21">
        <v>39.0</v>
      </c>
      <c r="D45" s="21">
        <v>1.5110424037E10</v>
      </c>
      <c r="E45" s="21">
        <v>2.40004045E8</v>
      </c>
      <c r="F45" s="22" t="s">
        <v>71</v>
      </c>
      <c r="G45" s="23" t="str">
        <f t="shared" si="1"/>
        <v>OK</v>
      </c>
      <c r="H45" s="24">
        <f t="shared" si="2"/>
        <v>15</v>
      </c>
      <c r="I45" s="25">
        <f t="shared" si="3"/>
        <v>227</v>
      </c>
      <c r="J45" s="25">
        <f t="shared" si="4"/>
        <v>0</v>
      </c>
      <c r="K45" s="26"/>
      <c r="L45" s="27">
        <v>1.0</v>
      </c>
      <c r="M45" s="27">
        <v>0.8889</v>
      </c>
      <c r="N45" s="27">
        <v>1.0</v>
      </c>
      <c r="O45" s="27">
        <v>1.0</v>
      </c>
      <c r="P45" s="27">
        <v>1.0</v>
      </c>
      <c r="Q45" s="27">
        <v>0.9048</v>
      </c>
      <c r="R45" s="27">
        <v>1.0</v>
      </c>
      <c r="S45" s="27">
        <v>0.7727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20" t="s">
        <v>30</v>
      </c>
      <c r="B46" s="21" t="s">
        <v>55</v>
      </c>
      <c r="C46" s="21">
        <v>40.0</v>
      </c>
      <c r="D46" s="21">
        <v>1.5110424013E10</v>
      </c>
      <c r="E46" s="21">
        <v>2.40004046E8</v>
      </c>
      <c r="F46" s="22" t="s">
        <v>72</v>
      </c>
      <c r="G46" s="23" t="str">
        <f t="shared" si="1"/>
        <v>OK</v>
      </c>
      <c r="H46" s="24">
        <f t="shared" si="2"/>
        <v>12</v>
      </c>
      <c r="I46" s="25">
        <f t="shared" si="3"/>
        <v>221</v>
      </c>
      <c r="J46" s="25">
        <f t="shared" si="4"/>
        <v>0</v>
      </c>
      <c r="K46" s="26"/>
      <c r="L46" s="27">
        <v>0.619</v>
      </c>
      <c r="M46" s="27">
        <v>1.0</v>
      </c>
      <c r="N46" s="27">
        <v>0.9048</v>
      </c>
      <c r="O46" s="27">
        <v>1.0</v>
      </c>
      <c r="P46" s="27">
        <v>0.9</v>
      </c>
      <c r="Q46" s="27">
        <v>1.0</v>
      </c>
      <c r="R46" s="27">
        <v>1.0</v>
      </c>
      <c r="S46" s="27">
        <v>0.9545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20" t="s">
        <v>30</v>
      </c>
      <c r="B47" s="21" t="s">
        <v>55</v>
      </c>
      <c r="C47" s="21">
        <v>41.0</v>
      </c>
      <c r="D47" s="21">
        <v>1.5110424051E10</v>
      </c>
      <c r="E47" s="21">
        <v>2.40004047E8</v>
      </c>
      <c r="F47" s="22" t="s">
        <v>73</v>
      </c>
      <c r="G47" s="23" t="str">
        <f t="shared" si="1"/>
        <v>OK</v>
      </c>
      <c r="H47" s="24">
        <f t="shared" si="2"/>
        <v>18</v>
      </c>
      <c r="I47" s="25">
        <f t="shared" si="3"/>
        <v>236</v>
      </c>
      <c r="J47" s="25">
        <f t="shared" si="4"/>
        <v>0</v>
      </c>
      <c r="K47" s="26"/>
      <c r="L47" s="27">
        <v>0.8571</v>
      </c>
      <c r="M47" s="27">
        <v>1.0</v>
      </c>
      <c r="N47" s="27">
        <v>1.0</v>
      </c>
      <c r="O47" s="27">
        <v>1.0</v>
      </c>
      <c r="P47" s="27">
        <v>1.0</v>
      </c>
      <c r="Q47" s="27">
        <v>1.0</v>
      </c>
      <c r="R47" s="27">
        <v>1.0</v>
      </c>
      <c r="S47" s="27">
        <v>1.0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20" t="s">
        <v>30</v>
      </c>
      <c r="B48" s="21" t="s">
        <v>55</v>
      </c>
      <c r="C48" s="21">
        <v>42.0</v>
      </c>
      <c r="D48" s="21">
        <v>1.5110424047E10</v>
      </c>
      <c r="E48" s="21">
        <v>2.40004048E8</v>
      </c>
      <c r="F48" s="22" t="s">
        <v>74</v>
      </c>
      <c r="G48" s="23" t="str">
        <f t="shared" si="1"/>
        <v>OK</v>
      </c>
      <c r="H48" s="24">
        <f t="shared" si="2"/>
        <v>2</v>
      </c>
      <c r="I48" s="25">
        <f t="shared" si="3"/>
        <v>197</v>
      </c>
      <c r="J48" s="25">
        <f t="shared" si="4"/>
        <v>0</v>
      </c>
      <c r="K48" s="26"/>
      <c r="L48" s="27">
        <v>0.8571</v>
      </c>
      <c r="M48" s="27">
        <v>0.7222</v>
      </c>
      <c r="N48" s="27">
        <v>0.8571</v>
      </c>
      <c r="O48" s="27">
        <v>0.95</v>
      </c>
      <c r="P48" s="27">
        <v>0.85</v>
      </c>
      <c r="Q48" s="27">
        <v>0.8095</v>
      </c>
      <c r="R48" s="27">
        <v>0.7368</v>
      </c>
      <c r="S48" s="27">
        <v>0.7727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20" t="s">
        <v>30</v>
      </c>
      <c r="B49" s="21" t="s">
        <v>55</v>
      </c>
      <c r="C49" s="21">
        <v>43.0</v>
      </c>
      <c r="D49" s="21">
        <v>1.5110424008E10</v>
      </c>
      <c r="E49" s="21">
        <v>2.40004049E8</v>
      </c>
      <c r="F49" s="22" t="s">
        <v>75</v>
      </c>
      <c r="G49" s="23" t="str">
        <f t="shared" si="1"/>
        <v>OK</v>
      </c>
      <c r="H49" s="24">
        <f t="shared" si="2"/>
        <v>6</v>
      </c>
      <c r="I49" s="25">
        <f t="shared" si="3"/>
        <v>206</v>
      </c>
      <c r="J49" s="25">
        <f t="shared" si="4"/>
        <v>0</v>
      </c>
      <c r="K49" s="26"/>
      <c r="L49" s="27">
        <v>0.8571</v>
      </c>
      <c r="M49" s="27">
        <v>0.8333</v>
      </c>
      <c r="N49" s="27">
        <v>0.9048</v>
      </c>
      <c r="O49" s="27">
        <v>0.85</v>
      </c>
      <c r="P49" s="27">
        <v>0.85</v>
      </c>
      <c r="Q49" s="27">
        <v>0.8095</v>
      </c>
      <c r="R49" s="27">
        <v>0.9474</v>
      </c>
      <c r="S49" s="27">
        <v>0.8182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20" t="s">
        <v>30</v>
      </c>
      <c r="B50" s="21" t="s">
        <v>55</v>
      </c>
      <c r="C50" s="21">
        <v>44.0</v>
      </c>
      <c r="D50" s="21">
        <v>1.511042404E10</v>
      </c>
      <c r="E50" s="21">
        <v>2.40004051E8</v>
      </c>
      <c r="F50" s="22" t="s">
        <v>76</v>
      </c>
      <c r="G50" s="23" t="str">
        <f t="shared" si="1"/>
        <v>OK</v>
      </c>
      <c r="H50" s="24">
        <f t="shared" si="2"/>
        <v>7</v>
      </c>
      <c r="I50" s="25">
        <f t="shared" si="3"/>
        <v>209</v>
      </c>
      <c r="J50" s="25">
        <f t="shared" si="4"/>
        <v>0</v>
      </c>
      <c r="K50" s="26"/>
      <c r="L50" s="27">
        <v>0.0</v>
      </c>
      <c r="M50" s="27">
        <v>1.0</v>
      </c>
      <c r="N50" s="27">
        <v>1.0</v>
      </c>
      <c r="O50" s="27">
        <v>1.0</v>
      </c>
      <c r="P50" s="27">
        <v>1.0</v>
      </c>
      <c r="Q50" s="27">
        <v>0.9524</v>
      </c>
      <c r="R50" s="27">
        <v>1.0</v>
      </c>
      <c r="S50" s="27">
        <v>1.0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20" t="s">
        <v>30</v>
      </c>
      <c r="B51" s="21" t="s">
        <v>55</v>
      </c>
      <c r="C51" s="21">
        <v>45.0</v>
      </c>
      <c r="D51" s="21">
        <v>1.5110424081E10</v>
      </c>
      <c r="E51" s="21">
        <v>2.40004052E8</v>
      </c>
      <c r="F51" s="22" t="s">
        <v>77</v>
      </c>
      <c r="G51" s="23" t="str">
        <f t="shared" si="1"/>
        <v>Pending</v>
      </c>
      <c r="H51" s="24">
        <f t="shared" si="2"/>
        <v>-79</v>
      </c>
      <c r="I51" s="25">
        <f t="shared" si="3"/>
        <v>3</v>
      </c>
      <c r="J51" s="25">
        <f t="shared" si="4"/>
        <v>189</v>
      </c>
      <c r="K51" s="26"/>
      <c r="L51" s="27">
        <v>0.0</v>
      </c>
      <c r="M51" s="27">
        <v>0.0</v>
      </c>
      <c r="N51" s="27">
        <v>0.0</v>
      </c>
      <c r="O51" s="27">
        <v>0.0</v>
      </c>
      <c r="P51" s="27">
        <v>0.0</v>
      </c>
      <c r="Q51" s="27">
        <v>0.0476</v>
      </c>
      <c r="R51" s="27">
        <v>0.0526</v>
      </c>
      <c r="S51" s="27">
        <v>0.0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20" t="s">
        <v>30</v>
      </c>
      <c r="B52" s="21" t="s">
        <v>55</v>
      </c>
      <c r="C52" s="21">
        <v>46.0</v>
      </c>
      <c r="D52" s="21">
        <v>1.5110424082E10</v>
      </c>
      <c r="E52" s="21">
        <v>2.40004053E8</v>
      </c>
      <c r="F52" s="22" t="s">
        <v>78</v>
      </c>
      <c r="G52" s="23" t="str">
        <f t="shared" si="1"/>
        <v>OK</v>
      </c>
      <c r="H52" s="24">
        <f t="shared" si="2"/>
        <v>10</v>
      </c>
      <c r="I52" s="25">
        <f t="shared" si="3"/>
        <v>216</v>
      </c>
      <c r="J52" s="25">
        <f t="shared" si="4"/>
        <v>0</v>
      </c>
      <c r="K52" s="26"/>
      <c r="L52" s="27">
        <v>1.0</v>
      </c>
      <c r="M52" s="27">
        <v>0.7222</v>
      </c>
      <c r="N52" s="27">
        <v>0.7619</v>
      </c>
      <c r="O52" s="27">
        <v>1.0</v>
      </c>
      <c r="P52" s="27">
        <v>1.0</v>
      </c>
      <c r="Q52" s="27">
        <v>0.7143</v>
      </c>
      <c r="R52" s="27">
        <v>1.0</v>
      </c>
      <c r="S52" s="27">
        <v>1.0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20" t="s">
        <v>30</v>
      </c>
      <c r="B53" s="21" t="s">
        <v>79</v>
      </c>
      <c r="C53" s="21">
        <v>47.0</v>
      </c>
      <c r="D53" s="21">
        <v>1.5110424087E10</v>
      </c>
      <c r="E53" s="21">
        <v>2.40004054E8</v>
      </c>
      <c r="F53" s="22" t="s">
        <v>80</v>
      </c>
      <c r="G53" s="23" t="str">
        <f t="shared" si="1"/>
        <v>Pending</v>
      </c>
      <c r="H53" s="24">
        <f t="shared" si="2"/>
        <v>-24</v>
      </c>
      <c r="I53" s="25">
        <f t="shared" si="3"/>
        <v>135</v>
      </c>
      <c r="J53" s="25">
        <f t="shared" si="4"/>
        <v>57</v>
      </c>
      <c r="K53" s="26"/>
      <c r="L53" s="27">
        <v>0.3333</v>
      </c>
      <c r="M53" s="27">
        <v>0.7778</v>
      </c>
      <c r="N53" s="27">
        <v>0.15</v>
      </c>
      <c r="O53" s="27">
        <v>0.6842</v>
      </c>
      <c r="P53" s="27">
        <v>0.7368</v>
      </c>
      <c r="Q53" s="27">
        <v>0.6</v>
      </c>
      <c r="R53" s="27">
        <v>0.8</v>
      </c>
      <c r="S53" s="27">
        <v>0.4091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20" t="s">
        <v>30</v>
      </c>
      <c r="B54" s="21" t="s">
        <v>79</v>
      </c>
      <c r="C54" s="21">
        <v>48.0</v>
      </c>
      <c r="D54" s="21">
        <v>1.5110424086E10</v>
      </c>
      <c r="E54" s="21">
        <v>2.40004055E8</v>
      </c>
      <c r="F54" s="22" t="s">
        <v>81</v>
      </c>
      <c r="G54" s="23" t="str">
        <f t="shared" si="1"/>
        <v>OK</v>
      </c>
      <c r="H54" s="24">
        <f t="shared" si="2"/>
        <v>15</v>
      </c>
      <c r="I54" s="25">
        <f t="shared" si="3"/>
        <v>229</v>
      </c>
      <c r="J54" s="25">
        <f t="shared" si="4"/>
        <v>0</v>
      </c>
      <c r="K54" s="26"/>
      <c r="L54" s="27">
        <v>1.0</v>
      </c>
      <c r="M54" s="27">
        <v>0.8889</v>
      </c>
      <c r="N54" s="27">
        <v>0.9</v>
      </c>
      <c r="O54" s="27">
        <v>1.0</v>
      </c>
      <c r="P54" s="27">
        <v>1.0</v>
      </c>
      <c r="Q54" s="27">
        <v>1.0</v>
      </c>
      <c r="R54" s="27">
        <v>0.85</v>
      </c>
      <c r="S54" s="27">
        <v>1.0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20" t="s">
        <v>30</v>
      </c>
      <c r="B55" s="21" t="s">
        <v>79</v>
      </c>
      <c r="C55" s="21">
        <v>49.0</v>
      </c>
      <c r="D55" s="21">
        <v>1.5110424085E10</v>
      </c>
      <c r="E55" s="21">
        <v>2.40004056E8</v>
      </c>
      <c r="F55" s="22" t="s">
        <v>82</v>
      </c>
      <c r="G55" s="23" t="str">
        <f t="shared" si="1"/>
        <v>OK</v>
      </c>
      <c r="H55" s="24">
        <f t="shared" si="2"/>
        <v>15</v>
      </c>
      <c r="I55" s="25">
        <f t="shared" si="3"/>
        <v>229</v>
      </c>
      <c r="J55" s="25">
        <f t="shared" si="4"/>
        <v>0</v>
      </c>
      <c r="K55" s="26"/>
      <c r="L55" s="27">
        <v>1.0</v>
      </c>
      <c r="M55" s="27">
        <v>0.8889</v>
      </c>
      <c r="N55" s="27">
        <v>0.9</v>
      </c>
      <c r="O55" s="27">
        <v>1.0</v>
      </c>
      <c r="P55" s="27">
        <v>1.0</v>
      </c>
      <c r="Q55" s="27">
        <v>1.0</v>
      </c>
      <c r="R55" s="27">
        <v>0.85</v>
      </c>
      <c r="S55" s="27">
        <v>1.0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20" t="s">
        <v>30</v>
      </c>
      <c r="B56" s="21" t="s">
        <v>79</v>
      </c>
      <c r="C56" s="21">
        <v>50.0</v>
      </c>
      <c r="D56" s="21">
        <v>1.5110424083E10</v>
      </c>
      <c r="E56" s="21">
        <v>2.40004057E8</v>
      </c>
      <c r="F56" s="22" t="s">
        <v>83</v>
      </c>
      <c r="G56" s="23" t="str">
        <f t="shared" si="1"/>
        <v>Pending</v>
      </c>
      <c r="H56" s="24">
        <f t="shared" si="2"/>
        <v>-11</v>
      </c>
      <c r="I56" s="25">
        <f t="shared" si="3"/>
        <v>165</v>
      </c>
      <c r="J56" s="25">
        <f t="shared" si="4"/>
        <v>27</v>
      </c>
      <c r="K56" s="26"/>
      <c r="L56" s="27">
        <v>0.0</v>
      </c>
      <c r="M56" s="27">
        <v>0.6667</v>
      </c>
      <c r="N56" s="27">
        <v>0.8</v>
      </c>
      <c r="O56" s="27">
        <v>0.7895</v>
      </c>
      <c r="P56" s="27">
        <v>0.8421</v>
      </c>
      <c r="Q56" s="27">
        <v>0.85</v>
      </c>
      <c r="R56" s="27">
        <v>0.7</v>
      </c>
      <c r="S56" s="27">
        <v>0.8636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20" t="s">
        <v>30</v>
      </c>
      <c r="B57" s="21" t="s">
        <v>79</v>
      </c>
      <c r="C57" s="21">
        <v>51.0</v>
      </c>
      <c r="D57" s="21">
        <v>1.5110424045E10</v>
      </c>
      <c r="E57" s="21">
        <v>2.40004058E8</v>
      </c>
      <c r="F57" s="22" t="s">
        <v>84</v>
      </c>
      <c r="G57" s="23" t="str">
        <f t="shared" si="1"/>
        <v>OK</v>
      </c>
      <c r="H57" s="24">
        <f t="shared" si="2"/>
        <v>4</v>
      </c>
      <c r="I57" s="25">
        <f t="shared" si="3"/>
        <v>201</v>
      </c>
      <c r="J57" s="25">
        <f t="shared" si="4"/>
        <v>0</v>
      </c>
      <c r="K57" s="26"/>
      <c r="L57" s="27">
        <v>0.8571</v>
      </c>
      <c r="M57" s="27">
        <v>0.5</v>
      </c>
      <c r="N57" s="27">
        <v>0.9</v>
      </c>
      <c r="O57" s="27">
        <v>0.7368</v>
      </c>
      <c r="P57" s="27">
        <v>1.0</v>
      </c>
      <c r="Q57" s="27">
        <v>1.0</v>
      </c>
      <c r="R57" s="27">
        <v>0.95</v>
      </c>
      <c r="S57" s="27">
        <v>0.7727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20" t="s">
        <v>30</v>
      </c>
      <c r="B58" s="21" t="s">
        <v>79</v>
      </c>
      <c r="C58" s="21">
        <v>52.0</v>
      </c>
      <c r="D58" s="21">
        <v>1.5110424068E10</v>
      </c>
      <c r="E58" s="21">
        <v>2.40004059E8</v>
      </c>
      <c r="F58" s="22" t="s">
        <v>85</v>
      </c>
      <c r="G58" s="23" t="str">
        <f t="shared" si="1"/>
        <v>OK</v>
      </c>
      <c r="H58" s="24">
        <f t="shared" si="2"/>
        <v>8</v>
      </c>
      <c r="I58" s="25">
        <f t="shared" si="3"/>
        <v>211</v>
      </c>
      <c r="J58" s="25">
        <f t="shared" si="4"/>
        <v>0</v>
      </c>
      <c r="K58" s="26"/>
      <c r="L58" s="27">
        <v>0.8571</v>
      </c>
      <c r="M58" s="27">
        <v>0.8889</v>
      </c>
      <c r="N58" s="27">
        <v>0.9</v>
      </c>
      <c r="O58" s="27">
        <v>0.8421</v>
      </c>
      <c r="P58" s="27">
        <v>0.8421</v>
      </c>
      <c r="Q58" s="27">
        <v>1.0</v>
      </c>
      <c r="R58" s="27">
        <v>0.9</v>
      </c>
      <c r="S58" s="27">
        <v>0.8182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20" t="s">
        <v>30</v>
      </c>
      <c r="B59" s="21" t="s">
        <v>79</v>
      </c>
      <c r="C59" s="21">
        <v>53.0</v>
      </c>
      <c r="D59" s="21">
        <v>1.5110424041E10</v>
      </c>
      <c r="E59" s="21">
        <v>2.4000406E8</v>
      </c>
      <c r="F59" s="22" t="s">
        <v>86</v>
      </c>
      <c r="G59" s="23" t="str">
        <f t="shared" si="1"/>
        <v>OK</v>
      </c>
      <c r="H59" s="24">
        <f t="shared" si="2"/>
        <v>1</v>
      </c>
      <c r="I59" s="25">
        <f t="shared" si="3"/>
        <v>193</v>
      </c>
      <c r="J59" s="25">
        <f t="shared" si="4"/>
        <v>0</v>
      </c>
      <c r="K59" s="26"/>
      <c r="L59" s="27">
        <v>0.9524</v>
      </c>
      <c r="M59" s="27">
        <v>0.9444</v>
      </c>
      <c r="N59" s="27">
        <v>0.85</v>
      </c>
      <c r="O59" s="27">
        <v>0.6842</v>
      </c>
      <c r="P59" s="27">
        <v>0.8421</v>
      </c>
      <c r="Q59" s="27">
        <v>0.55</v>
      </c>
      <c r="R59" s="27">
        <v>0.8</v>
      </c>
      <c r="S59" s="27">
        <v>0.8182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20" t="s">
        <v>30</v>
      </c>
      <c r="B60" s="21" t="s">
        <v>79</v>
      </c>
      <c r="C60" s="21">
        <v>54.0</v>
      </c>
      <c r="D60" s="21">
        <v>1.5110424018E10</v>
      </c>
      <c r="E60" s="21">
        <v>2.40004061E8</v>
      </c>
      <c r="F60" s="22" t="s">
        <v>87</v>
      </c>
      <c r="G60" s="23" t="str">
        <f t="shared" si="1"/>
        <v>OK</v>
      </c>
      <c r="H60" s="24">
        <f t="shared" si="2"/>
        <v>6</v>
      </c>
      <c r="I60" s="25">
        <f t="shared" si="3"/>
        <v>206</v>
      </c>
      <c r="J60" s="25">
        <f t="shared" si="4"/>
        <v>0</v>
      </c>
      <c r="K60" s="26"/>
      <c r="L60" s="27">
        <v>0.8571</v>
      </c>
      <c r="M60" s="27">
        <v>0.5556</v>
      </c>
      <c r="N60" s="27">
        <v>1.0</v>
      </c>
      <c r="O60" s="27">
        <v>0.8421</v>
      </c>
      <c r="P60" s="27">
        <v>0.7368</v>
      </c>
      <c r="Q60" s="27">
        <v>0.95</v>
      </c>
      <c r="R60" s="27">
        <v>1.0</v>
      </c>
      <c r="S60" s="27">
        <v>0.9091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20" t="s">
        <v>30</v>
      </c>
      <c r="B61" s="21" t="s">
        <v>79</v>
      </c>
      <c r="C61" s="21">
        <v>55.0</v>
      </c>
      <c r="D61" s="21">
        <v>1.5110424017E10</v>
      </c>
      <c r="E61" s="21">
        <v>2.40004062E8</v>
      </c>
      <c r="F61" s="22" t="s">
        <v>88</v>
      </c>
      <c r="G61" s="23" t="str">
        <f t="shared" si="1"/>
        <v>Pending</v>
      </c>
      <c r="H61" s="24">
        <f t="shared" si="2"/>
        <v>-5</v>
      </c>
      <c r="I61" s="25">
        <f t="shared" si="3"/>
        <v>181</v>
      </c>
      <c r="J61" s="25">
        <f t="shared" si="4"/>
        <v>11</v>
      </c>
      <c r="K61" s="26"/>
      <c r="L61" s="27">
        <v>0.7619</v>
      </c>
      <c r="M61" s="27">
        <v>0.7778</v>
      </c>
      <c r="N61" s="27">
        <v>0.75</v>
      </c>
      <c r="O61" s="27">
        <v>0.7895</v>
      </c>
      <c r="P61" s="27">
        <v>0.7895</v>
      </c>
      <c r="Q61" s="27">
        <v>0.65</v>
      </c>
      <c r="R61" s="27">
        <v>0.7</v>
      </c>
      <c r="S61" s="27">
        <v>0.8182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20" t="s">
        <v>30</v>
      </c>
      <c r="B62" s="21" t="s">
        <v>79</v>
      </c>
      <c r="C62" s="21">
        <v>56.0</v>
      </c>
      <c r="D62" s="21">
        <v>1.5110424073E10</v>
      </c>
      <c r="E62" s="21">
        <v>2.40004063E8</v>
      </c>
      <c r="F62" s="22" t="s">
        <v>89</v>
      </c>
      <c r="G62" s="23" t="str">
        <f t="shared" si="1"/>
        <v>Pending</v>
      </c>
      <c r="H62" s="24">
        <f t="shared" si="2"/>
        <v>-13</v>
      </c>
      <c r="I62" s="25">
        <f t="shared" si="3"/>
        <v>161</v>
      </c>
      <c r="J62" s="25">
        <f t="shared" si="4"/>
        <v>31</v>
      </c>
      <c r="K62" s="26"/>
      <c r="L62" s="27">
        <v>0.0</v>
      </c>
      <c r="M62" s="27">
        <v>0.6111</v>
      </c>
      <c r="N62" s="27">
        <v>0.75</v>
      </c>
      <c r="O62" s="27">
        <v>0.8947</v>
      </c>
      <c r="P62" s="27">
        <v>0.7895</v>
      </c>
      <c r="Q62" s="27">
        <v>0.8</v>
      </c>
      <c r="R62" s="27">
        <v>0.7</v>
      </c>
      <c r="S62" s="27">
        <v>0.8182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20" t="s">
        <v>30</v>
      </c>
      <c r="B63" s="21" t="s">
        <v>79</v>
      </c>
      <c r="C63" s="21">
        <v>57.0</v>
      </c>
      <c r="D63" s="21">
        <v>1.5110424033E10</v>
      </c>
      <c r="E63" s="21">
        <v>2.40004066E8</v>
      </c>
      <c r="F63" s="22" t="s">
        <v>90</v>
      </c>
      <c r="G63" s="23" t="str">
        <f t="shared" si="1"/>
        <v>OK</v>
      </c>
      <c r="H63" s="24">
        <f t="shared" si="2"/>
        <v>6</v>
      </c>
      <c r="I63" s="25">
        <f t="shared" si="3"/>
        <v>207</v>
      </c>
      <c r="J63" s="25">
        <f t="shared" si="4"/>
        <v>0</v>
      </c>
      <c r="K63" s="26"/>
      <c r="L63" s="27">
        <v>0.8571</v>
      </c>
      <c r="M63" s="27">
        <v>0.8889</v>
      </c>
      <c r="N63" s="27">
        <v>0.9</v>
      </c>
      <c r="O63" s="27">
        <v>0.8421</v>
      </c>
      <c r="P63" s="27">
        <v>0.8421</v>
      </c>
      <c r="Q63" s="27">
        <v>0.85</v>
      </c>
      <c r="R63" s="27">
        <v>0.9</v>
      </c>
      <c r="S63" s="27">
        <v>0.8182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20" t="s">
        <v>30</v>
      </c>
      <c r="B64" s="21" t="s">
        <v>79</v>
      </c>
      <c r="C64" s="21">
        <v>58.0</v>
      </c>
      <c r="D64" s="21">
        <v>1.5110424072E10</v>
      </c>
      <c r="E64" s="21">
        <v>2.40004067E8</v>
      </c>
      <c r="F64" s="22" t="s">
        <v>91</v>
      </c>
      <c r="G64" s="23" t="str">
        <f t="shared" si="1"/>
        <v>Pending</v>
      </c>
      <c r="H64" s="24">
        <f t="shared" si="2"/>
        <v>-9</v>
      </c>
      <c r="I64" s="25">
        <f t="shared" si="3"/>
        <v>169</v>
      </c>
      <c r="J64" s="25">
        <f t="shared" si="4"/>
        <v>23</v>
      </c>
      <c r="K64" s="26"/>
      <c r="L64" s="27">
        <v>0.5238</v>
      </c>
      <c r="M64" s="27">
        <v>0.5556</v>
      </c>
      <c r="N64" s="27">
        <v>0.5</v>
      </c>
      <c r="O64" s="27">
        <v>0.8421</v>
      </c>
      <c r="P64" s="27">
        <v>0.8421</v>
      </c>
      <c r="Q64" s="27">
        <v>0.7</v>
      </c>
      <c r="R64" s="27">
        <v>1.0</v>
      </c>
      <c r="S64" s="27">
        <v>0.6818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20" t="s">
        <v>30</v>
      </c>
      <c r="B65" s="21" t="s">
        <v>79</v>
      </c>
      <c r="C65" s="21">
        <v>59.0</v>
      </c>
      <c r="D65" s="21">
        <v>1.5110424022E10</v>
      </c>
      <c r="E65" s="21">
        <v>2.40004068E8</v>
      </c>
      <c r="F65" s="22" t="s">
        <v>92</v>
      </c>
      <c r="G65" s="23" t="str">
        <f t="shared" si="1"/>
        <v>OK</v>
      </c>
      <c r="H65" s="24">
        <f t="shared" si="2"/>
        <v>18</v>
      </c>
      <c r="I65" s="25">
        <f t="shared" si="3"/>
        <v>234</v>
      </c>
      <c r="J65" s="25">
        <f t="shared" si="4"/>
        <v>0</v>
      </c>
      <c r="K65" s="26"/>
      <c r="L65" s="27">
        <v>1.0</v>
      </c>
      <c r="M65" s="27">
        <v>0.9444</v>
      </c>
      <c r="N65" s="27">
        <v>1.0</v>
      </c>
      <c r="O65" s="27">
        <v>1.0</v>
      </c>
      <c r="P65" s="27">
        <v>1.0</v>
      </c>
      <c r="Q65" s="27">
        <v>0.95</v>
      </c>
      <c r="R65" s="27">
        <v>1.0</v>
      </c>
      <c r="S65" s="27">
        <v>0.9091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20" t="s">
        <v>30</v>
      </c>
      <c r="B66" s="21" t="s">
        <v>79</v>
      </c>
      <c r="C66" s="21">
        <v>60.0</v>
      </c>
      <c r="D66" s="21">
        <v>1.5110425002E10</v>
      </c>
      <c r="E66" s="21">
        <v>2.51004001E8</v>
      </c>
      <c r="F66" s="22" t="s">
        <v>93</v>
      </c>
      <c r="G66" s="23" t="str">
        <f t="shared" si="1"/>
        <v>OK</v>
      </c>
      <c r="H66" s="24">
        <f t="shared" si="2"/>
        <v>5</v>
      </c>
      <c r="I66" s="25">
        <f t="shared" si="3"/>
        <v>203</v>
      </c>
      <c r="J66" s="25">
        <f t="shared" si="4"/>
        <v>0</v>
      </c>
      <c r="K66" s="26"/>
      <c r="L66" s="27">
        <v>0.9048</v>
      </c>
      <c r="M66" s="27">
        <v>0.7778</v>
      </c>
      <c r="N66" s="27">
        <v>0.85</v>
      </c>
      <c r="O66" s="27">
        <v>0.9474</v>
      </c>
      <c r="P66" s="27">
        <v>1.0</v>
      </c>
      <c r="Q66" s="27">
        <v>0.85</v>
      </c>
      <c r="R66" s="27">
        <v>0.9</v>
      </c>
      <c r="S66" s="27">
        <v>0.5455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20" t="s">
        <v>30</v>
      </c>
      <c r="B67" s="21" t="s">
        <v>79</v>
      </c>
      <c r="C67" s="21">
        <v>61.0</v>
      </c>
      <c r="D67" s="21">
        <v>1.5110425003E10</v>
      </c>
      <c r="E67" s="21">
        <v>2.51004002E8</v>
      </c>
      <c r="F67" s="22" t="s">
        <v>94</v>
      </c>
      <c r="G67" s="23" t="str">
        <f t="shared" si="1"/>
        <v>OK</v>
      </c>
      <c r="H67" s="24">
        <f t="shared" si="2"/>
        <v>7</v>
      </c>
      <c r="I67" s="25">
        <f t="shared" si="3"/>
        <v>208</v>
      </c>
      <c r="J67" s="25">
        <f t="shared" si="4"/>
        <v>0</v>
      </c>
      <c r="K67" s="26"/>
      <c r="L67" s="27">
        <v>0.7619</v>
      </c>
      <c r="M67" s="27">
        <v>0.8889</v>
      </c>
      <c r="N67" s="27">
        <v>0.9</v>
      </c>
      <c r="O67" s="27">
        <v>1.0</v>
      </c>
      <c r="P67" s="27">
        <v>1.0</v>
      </c>
      <c r="Q67" s="27">
        <v>0.9</v>
      </c>
      <c r="R67" s="27">
        <v>0.75</v>
      </c>
      <c r="S67" s="27">
        <v>0.7273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20" t="s">
        <v>30</v>
      </c>
      <c r="B68" s="21" t="s">
        <v>79</v>
      </c>
      <c r="C68" s="21">
        <v>62.0</v>
      </c>
      <c r="D68" s="21">
        <v>1.5110425004E10</v>
      </c>
      <c r="E68" s="21">
        <v>2.51004003E8</v>
      </c>
      <c r="F68" s="22" t="s">
        <v>95</v>
      </c>
      <c r="G68" s="23" t="str">
        <f t="shared" si="1"/>
        <v>OK</v>
      </c>
      <c r="H68" s="24">
        <f t="shared" si="2"/>
        <v>17</v>
      </c>
      <c r="I68" s="25">
        <f t="shared" si="3"/>
        <v>233</v>
      </c>
      <c r="J68" s="25">
        <f t="shared" si="4"/>
        <v>0</v>
      </c>
      <c r="K68" s="26"/>
      <c r="L68" s="27">
        <v>1.0</v>
      </c>
      <c r="M68" s="27">
        <v>1.0</v>
      </c>
      <c r="N68" s="27">
        <v>0.9</v>
      </c>
      <c r="O68" s="27">
        <v>1.0</v>
      </c>
      <c r="P68" s="27">
        <v>1.0</v>
      </c>
      <c r="Q68" s="27">
        <v>1.0</v>
      </c>
      <c r="R68" s="27">
        <v>0.85</v>
      </c>
      <c r="S68" s="27">
        <v>1.0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20" t="s">
        <v>30</v>
      </c>
      <c r="B69" s="21" t="s">
        <v>79</v>
      </c>
      <c r="C69" s="21">
        <v>63.0</v>
      </c>
      <c r="D69" s="21">
        <v>1.5110425006E10</v>
      </c>
      <c r="E69" s="21">
        <v>2.51004004E8</v>
      </c>
      <c r="F69" s="22" t="s">
        <v>96</v>
      </c>
      <c r="G69" s="23" t="str">
        <f t="shared" si="1"/>
        <v>OK</v>
      </c>
      <c r="H69" s="24">
        <f t="shared" si="2"/>
        <v>7</v>
      </c>
      <c r="I69" s="25">
        <f t="shared" si="3"/>
        <v>208</v>
      </c>
      <c r="J69" s="25">
        <f t="shared" si="4"/>
        <v>0</v>
      </c>
      <c r="K69" s="26"/>
      <c r="L69" s="27">
        <v>0.8571</v>
      </c>
      <c r="M69" s="27">
        <v>0.7778</v>
      </c>
      <c r="N69" s="27">
        <v>0.8</v>
      </c>
      <c r="O69" s="27">
        <v>0.9474</v>
      </c>
      <c r="P69" s="27">
        <v>0.9474</v>
      </c>
      <c r="Q69" s="27">
        <v>0.95</v>
      </c>
      <c r="R69" s="27">
        <v>0.85</v>
      </c>
      <c r="S69" s="27">
        <v>0.8182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20" t="s">
        <v>30</v>
      </c>
      <c r="B70" s="21" t="s">
        <v>79</v>
      </c>
      <c r="C70" s="21">
        <v>64.0</v>
      </c>
      <c r="D70" s="21">
        <v>1.5110425009E10</v>
      </c>
      <c r="E70" s="21">
        <v>2.51004005E8</v>
      </c>
      <c r="F70" s="22" t="s">
        <v>97</v>
      </c>
      <c r="G70" s="23" t="str">
        <f t="shared" si="1"/>
        <v>OK</v>
      </c>
      <c r="H70" s="24">
        <f t="shared" si="2"/>
        <v>4</v>
      </c>
      <c r="I70" s="25">
        <f t="shared" si="3"/>
        <v>201</v>
      </c>
      <c r="J70" s="25">
        <f t="shared" si="4"/>
        <v>0</v>
      </c>
      <c r="K70" s="26"/>
      <c r="L70" s="27">
        <v>0.7143</v>
      </c>
      <c r="M70" s="27">
        <v>0.8333</v>
      </c>
      <c r="N70" s="27">
        <v>0.85</v>
      </c>
      <c r="O70" s="27">
        <v>0.9474</v>
      </c>
      <c r="P70" s="27">
        <v>0.8421</v>
      </c>
      <c r="Q70" s="27">
        <v>0.85</v>
      </c>
      <c r="R70" s="27">
        <v>0.9</v>
      </c>
      <c r="S70" s="27">
        <v>0.7727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20" t="s">
        <v>30</v>
      </c>
      <c r="B71" s="21" t="s">
        <v>79</v>
      </c>
      <c r="C71" s="21">
        <v>65.0</v>
      </c>
      <c r="D71" s="21">
        <v>1.5110425007E10</v>
      </c>
      <c r="E71" s="21">
        <v>2.51004006E8</v>
      </c>
      <c r="F71" s="22" t="s">
        <v>98</v>
      </c>
      <c r="G71" s="23" t="str">
        <f t="shared" si="1"/>
        <v>OK</v>
      </c>
      <c r="H71" s="24">
        <f t="shared" si="2"/>
        <v>1</v>
      </c>
      <c r="I71" s="25">
        <f t="shared" si="3"/>
        <v>194</v>
      </c>
      <c r="J71" s="25">
        <f t="shared" si="4"/>
        <v>0</v>
      </c>
      <c r="K71" s="26"/>
      <c r="L71" s="27">
        <v>0.6667</v>
      </c>
      <c r="M71" s="27">
        <v>0.8333</v>
      </c>
      <c r="N71" s="27">
        <v>0.8</v>
      </c>
      <c r="O71" s="27">
        <v>0.8947</v>
      </c>
      <c r="P71" s="27">
        <v>0.8421</v>
      </c>
      <c r="Q71" s="27">
        <v>0.75</v>
      </c>
      <c r="R71" s="27">
        <v>0.95</v>
      </c>
      <c r="S71" s="27">
        <v>0.7273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20" t="s">
        <v>30</v>
      </c>
      <c r="B72" s="21" t="s">
        <v>79</v>
      </c>
      <c r="C72" s="21">
        <v>66.0</v>
      </c>
      <c r="D72" s="21">
        <v>1.5110425005E10</v>
      </c>
      <c r="E72" s="21">
        <v>2.51004007E8</v>
      </c>
      <c r="F72" s="22" t="s">
        <v>99</v>
      </c>
      <c r="G72" s="23" t="str">
        <f t="shared" si="1"/>
        <v>OK</v>
      </c>
      <c r="H72" s="24">
        <f t="shared" si="2"/>
        <v>1</v>
      </c>
      <c r="I72" s="25">
        <f t="shared" si="3"/>
        <v>195</v>
      </c>
      <c r="J72" s="25">
        <f t="shared" si="4"/>
        <v>0</v>
      </c>
      <c r="K72" s="26"/>
      <c r="L72" s="27">
        <v>0.8571</v>
      </c>
      <c r="M72" s="27">
        <v>0.7778</v>
      </c>
      <c r="N72" s="27">
        <v>0.85</v>
      </c>
      <c r="O72" s="27">
        <v>0.9474</v>
      </c>
      <c r="P72" s="27">
        <v>0.7895</v>
      </c>
      <c r="Q72" s="27">
        <v>0.8</v>
      </c>
      <c r="R72" s="27">
        <v>0.75</v>
      </c>
      <c r="S72" s="27">
        <v>0.7273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20" t="s">
        <v>30</v>
      </c>
      <c r="B73" s="21" t="s">
        <v>79</v>
      </c>
      <c r="C73" s="21">
        <v>67.0</v>
      </c>
      <c r="D73" s="21">
        <v>1.5110425011E10</v>
      </c>
      <c r="E73" s="21">
        <v>2.51004009E8</v>
      </c>
      <c r="F73" s="22" t="s">
        <v>100</v>
      </c>
      <c r="G73" s="23" t="str">
        <f t="shared" si="1"/>
        <v>Pending</v>
      </c>
      <c r="H73" s="24">
        <f t="shared" si="2"/>
        <v>-13</v>
      </c>
      <c r="I73" s="25">
        <f t="shared" si="3"/>
        <v>161</v>
      </c>
      <c r="J73" s="25">
        <f t="shared" si="4"/>
        <v>31</v>
      </c>
      <c r="K73" s="26"/>
      <c r="L73" s="27">
        <v>0.7143</v>
      </c>
      <c r="M73" s="27">
        <v>0.8333</v>
      </c>
      <c r="N73" s="27">
        <v>0.6</v>
      </c>
      <c r="O73" s="27">
        <v>0.5263</v>
      </c>
      <c r="P73" s="27">
        <v>0.8947</v>
      </c>
      <c r="Q73" s="27">
        <v>0.55</v>
      </c>
      <c r="R73" s="27">
        <v>0.65</v>
      </c>
      <c r="S73" s="27">
        <v>0.5909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20" t="s">
        <v>30</v>
      </c>
      <c r="B74" s="21" t="s">
        <v>79</v>
      </c>
      <c r="C74" s="21">
        <v>68.0</v>
      </c>
      <c r="D74" s="21">
        <v>1.511042501E10</v>
      </c>
      <c r="E74" s="21">
        <v>2.5100401E8</v>
      </c>
      <c r="F74" s="22" t="s">
        <v>101</v>
      </c>
      <c r="G74" s="23" t="str">
        <f t="shared" si="1"/>
        <v>OK</v>
      </c>
      <c r="H74" s="24">
        <f t="shared" si="2"/>
        <v>11</v>
      </c>
      <c r="I74" s="25">
        <f t="shared" si="3"/>
        <v>219</v>
      </c>
      <c r="J74" s="25">
        <f t="shared" si="4"/>
        <v>0</v>
      </c>
      <c r="K74" s="26"/>
      <c r="L74" s="27">
        <v>1.0</v>
      </c>
      <c r="M74" s="27">
        <v>0.8889</v>
      </c>
      <c r="N74" s="27">
        <v>0.9</v>
      </c>
      <c r="O74" s="27">
        <v>1.0</v>
      </c>
      <c r="P74" s="27">
        <v>1.0</v>
      </c>
      <c r="Q74" s="27">
        <v>0.75</v>
      </c>
      <c r="R74" s="27">
        <v>0.8</v>
      </c>
      <c r="S74" s="27">
        <v>0.9545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4"/>
      <c r="C75" s="4"/>
      <c r="D75" s="4"/>
      <c r="E75" s="4"/>
      <c r="F75" s="28">
        <f>COUNTA(F5:F74)</f>
        <v>69</v>
      </c>
      <c r="G75" s="23" t="str">
        <f t="shared" si="1"/>
        <v>OK</v>
      </c>
      <c r="H75" s="24">
        <f t="shared" si="2"/>
        <v>3</v>
      </c>
      <c r="I75" s="25">
        <f t="shared" si="3"/>
        <v>200</v>
      </c>
      <c r="J75" s="25">
        <f t="shared" si="4"/>
        <v>0</v>
      </c>
      <c r="K75" s="26"/>
      <c r="L75" s="29">
        <f t="shared" ref="L75:Z75" si="5">SUM(L5:L74)/$F$75</f>
        <v>0.7232478261</v>
      </c>
      <c r="M75" s="29">
        <f t="shared" si="5"/>
        <v>0.8204507246</v>
      </c>
      <c r="N75" s="29">
        <f t="shared" si="5"/>
        <v>0.8376521739</v>
      </c>
      <c r="O75" s="29">
        <f t="shared" si="5"/>
        <v>0.8798246377</v>
      </c>
      <c r="P75" s="29">
        <f t="shared" si="5"/>
        <v>0.8743318841</v>
      </c>
      <c r="Q75" s="29">
        <f t="shared" si="5"/>
        <v>0.829742029</v>
      </c>
      <c r="R75" s="29">
        <f t="shared" si="5"/>
        <v>0.8622782609</v>
      </c>
      <c r="S75" s="29">
        <f t="shared" si="5"/>
        <v>0.826742029</v>
      </c>
      <c r="T75" s="29">
        <f t="shared" si="5"/>
        <v>0</v>
      </c>
      <c r="U75" s="29">
        <f t="shared" si="5"/>
        <v>0</v>
      </c>
      <c r="V75" s="29">
        <f t="shared" si="5"/>
        <v>0</v>
      </c>
      <c r="W75" s="29">
        <f t="shared" si="5"/>
        <v>0</v>
      </c>
      <c r="X75" s="29">
        <f t="shared" si="5"/>
        <v>0</v>
      </c>
      <c r="Y75" s="29">
        <f t="shared" si="5"/>
        <v>0</v>
      </c>
      <c r="Z75" s="29">
        <f t="shared" si="5"/>
        <v>0</v>
      </c>
      <c r="AA75" s="4"/>
      <c r="AB75" s="4"/>
      <c r="AC75" s="4"/>
      <c r="AD75" s="4"/>
      <c r="AE75" s="4"/>
    </row>
    <row r="76" ht="18.75" customHeight="1">
      <c r="A76" s="5" t="s">
        <v>102</v>
      </c>
      <c r="B76" s="6"/>
      <c r="C76" s="6"/>
      <c r="D76" s="6"/>
      <c r="E76" s="6"/>
      <c r="F76" s="30"/>
      <c r="G76" s="23"/>
      <c r="H76" s="24"/>
      <c r="I76" s="25"/>
      <c r="J76" s="25"/>
      <c r="K76" s="26"/>
      <c r="L76" s="29"/>
      <c r="M76" s="29"/>
      <c r="N76" s="29"/>
      <c r="O76" s="2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31" t="s">
        <v>4</v>
      </c>
      <c r="B77" s="32" t="s">
        <v>5</v>
      </c>
      <c r="C77" s="32" t="s">
        <v>6</v>
      </c>
      <c r="D77" s="32" t="s">
        <v>7</v>
      </c>
      <c r="E77" s="32" t="s">
        <v>8</v>
      </c>
      <c r="F77" s="32" t="s">
        <v>9</v>
      </c>
      <c r="G77" s="17" t="s">
        <v>10</v>
      </c>
      <c r="H77" s="18" t="s">
        <v>11</v>
      </c>
      <c r="I77" s="18" t="s">
        <v>12</v>
      </c>
      <c r="J77" s="18" t="s">
        <v>13</v>
      </c>
      <c r="K77" s="18" t="s">
        <v>14</v>
      </c>
      <c r="L77" s="19" t="s">
        <v>15</v>
      </c>
      <c r="M77" s="19" t="s">
        <v>16</v>
      </c>
      <c r="N77" s="19" t="s">
        <v>17</v>
      </c>
      <c r="O77" s="19" t="s">
        <v>18</v>
      </c>
      <c r="P77" s="19" t="s">
        <v>19</v>
      </c>
      <c r="Q77" s="19" t="s">
        <v>20</v>
      </c>
      <c r="R77" s="19" t="s">
        <v>21</v>
      </c>
      <c r="S77" s="19" t="s">
        <v>22</v>
      </c>
      <c r="T77" s="19" t="s">
        <v>23</v>
      </c>
      <c r="U77" s="19" t="s">
        <v>24</v>
      </c>
      <c r="V77" s="19" t="s">
        <v>25</v>
      </c>
      <c r="W77" s="19" t="s">
        <v>26</v>
      </c>
      <c r="X77" s="19" t="s">
        <v>27</v>
      </c>
      <c r="Y77" s="19" t="s">
        <v>28</v>
      </c>
      <c r="Z77" s="19" t="s">
        <v>29</v>
      </c>
      <c r="AA77" s="4"/>
      <c r="AB77" s="4"/>
      <c r="AC77" s="4"/>
      <c r="AD77" s="4"/>
      <c r="AE77" s="4"/>
    </row>
    <row r="78" ht="15.75" customHeight="1">
      <c r="A78" s="20" t="s">
        <v>103</v>
      </c>
      <c r="B78" s="21" t="s">
        <v>31</v>
      </c>
      <c r="C78" s="21">
        <v>1.0</v>
      </c>
      <c r="D78" s="21">
        <v>1.5110423021E10</v>
      </c>
      <c r="E78" s="21">
        <v>2.30004001E8</v>
      </c>
      <c r="F78" s="22" t="s">
        <v>104</v>
      </c>
      <c r="G78" s="23" t="str">
        <f t="shared" ref="G78:G139" si="6">IF(H78&gt;=0,"OK",IF(K78&gt;=J78,"Completed","Pending"))</f>
        <v>OK</v>
      </c>
      <c r="H78" s="24">
        <f t="shared" ref="H78:H139" si="7">round((((((L78*100)*$L$5)+((M78*100)*$M$5)+((N78*100)*$N$5)+((O78*100)*$O$5)+((P78*100)*$P$5)+((Q78*100)*$Q$5)+((R78*100)*$R$5)+((S78*100)*$S$5)+((T78*100)*$T$5)+((U78*100)*$U$5)+((V78*100)*$V$5)+((W78*100)*$W$5)+((X78*100)*$X$5)+((Y78*100)*$Y$5)+((Z78*100)*$Z$5)++((W78*100)*$W$5)+((AA78*100)*$AA$5))/($L$5+$M$5+$N$5+$O$5+$P$5+$Q$5+$R$5+$S$5+$T$5+$V$5+$U$5+$W$5+$X$5+$Y$5+$Z$5+$AA$5))-80),0)</f>
        <v>2</v>
      </c>
      <c r="I78" s="25">
        <f t="shared" ref="I78:I139" si="8">round(30*((L78*$L$5)+(M78*$M$5)+(N78*$N$5)+(O78*$O$5)+(P78*$P$5)+(Q78*$Q$5)+(R78*$R$5)+(S78*$S$5)+(T78*$T$5)+(U78*$U$5)+(V78*$V$5)+(W78*$W$5)+(X78*$X$5)+(Y78*$Y$5)+(Z78*$Z$5)+(AA78*$AA$5)),0)</f>
        <v>197</v>
      </c>
      <c r="J78" s="25">
        <f t="shared" ref="J78:J139" si="9">if(I78&lt;(24*($L$5+$M$5+$N$5+$O$5+$P$5+$Q$5+$R$5+$S$5+$T$5+$V$5+$U$5+$W$5+$X$5+$Y$5+$Z$5+$AA$5)),abs(I78-(24*($L$5+$M$5+$N$5+$O$5+$P$5+$Q$5+$R$5+$S$5+$T$5+$V$5+$U$5+$W$5+$X$5+$Y$5+$Z$5+$AA$5))),0)</f>
        <v>0</v>
      </c>
      <c r="K78" s="26"/>
      <c r="L78" s="33">
        <v>0.5</v>
      </c>
      <c r="M78" s="27">
        <v>0.8571</v>
      </c>
      <c r="N78" s="27">
        <v>0.9412</v>
      </c>
      <c r="O78" s="27">
        <v>0.8</v>
      </c>
      <c r="P78" s="27">
        <v>0.8125</v>
      </c>
      <c r="Q78" s="33">
        <v>0.9375</v>
      </c>
      <c r="R78" s="27">
        <v>0.7647</v>
      </c>
      <c r="S78" s="27">
        <v>0.9375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20" t="s">
        <v>103</v>
      </c>
      <c r="B79" s="21" t="s">
        <v>31</v>
      </c>
      <c r="C79" s="21">
        <v>2.0</v>
      </c>
      <c r="D79" s="21">
        <v>1.5110423042E10</v>
      </c>
      <c r="E79" s="21">
        <v>2.30004002E8</v>
      </c>
      <c r="F79" s="22" t="s">
        <v>105</v>
      </c>
      <c r="G79" s="23" t="str">
        <f t="shared" si="6"/>
        <v>OK</v>
      </c>
      <c r="H79" s="24">
        <f t="shared" si="7"/>
        <v>1</v>
      </c>
      <c r="I79" s="25">
        <f t="shared" si="8"/>
        <v>195</v>
      </c>
      <c r="J79" s="25">
        <f t="shared" si="9"/>
        <v>0</v>
      </c>
      <c r="K79" s="26"/>
      <c r="L79" s="33">
        <v>0.875</v>
      </c>
      <c r="M79" s="27">
        <v>0.6429</v>
      </c>
      <c r="N79" s="27">
        <v>0.9412</v>
      </c>
      <c r="O79" s="27">
        <v>0.9</v>
      </c>
      <c r="P79" s="27">
        <v>0.8125</v>
      </c>
      <c r="Q79" s="33">
        <v>0.75</v>
      </c>
      <c r="R79" s="27">
        <v>0.8235</v>
      </c>
      <c r="S79" s="27">
        <v>0.75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20" t="s">
        <v>103</v>
      </c>
      <c r="B80" s="21" t="s">
        <v>31</v>
      </c>
      <c r="C80" s="21">
        <v>3.0</v>
      </c>
      <c r="D80" s="21">
        <v>1.5110423052E10</v>
      </c>
      <c r="E80" s="21">
        <v>2.30004003E8</v>
      </c>
      <c r="F80" s="22" t="s">
        <v>106</v>
      </c>
      <c r="G80" s="23" t="str">
        <f t="shared" si="6"/>
        <v>OK</v>
      </c>
      <c r="H80" s="24">
        <f t="shared" si="7"/>
        <v>11</v>
      </c>
      <c r="I80" s="25">
        <f t="shared" si="8"/>
        <v>218</v>
      </c>
      <c r="J80" s="25">
        <f t="shared" si="9"/>
        <v>0</v>
      </c>
      <c r="K80" s="26"/>
      <c r="L80" s="33">
        <v>0.8</v>
      </c>
      <c r="M80" s="27">
        <v>1.0</v>
      </c>
      <c r="N80" s="27">
        <v>0.9375</v>
      </c>
      <c r="O80" s="27">
        <v>0.8947</v>
      </c>
      <c r="P80" s="27">
        <v>0.875</v>
      </c>
      <c r="Q80" s="33">
        <v>0.9375</v>
      </c>
      <c r="R80" s="27">
        <v>0.8824</v>
      </c>
      <c r="S80" s="27">
        <v>0.9375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20" t="s">
        <v>103</v>
      </c>
      <c r="B81" s="21" t="s">
        <v>31</v>
      </c>
      <c r="C81" s="21">
        <v>4.0</v>
      </c>
      <c r="D81" s="21">
        <v>1.5110423005E10</v>
      </c>
      <c r="E81" s="21">
        <v>2.30004006E8</v>
      </c>
      <c r="F81" s="22" t="s">
        <v>107</v>
      </c>
      <c r="G81" s="23" t="str">
        <f t="shared" si="6"/>
        <v>Pending</v>
      </c>
      <c r="H81" s="24">
        <f t="shared" si="7"/>
        <v>-28</v>
      </c>
      <c r="I81" s="25">
        <f t="shared" si="8"/>
        <v>125</v>
      </c>
      <c r="J81" s="25">
        <f t="shared" si="9"/>
        <v>67</v>
      </c>
      <c r="K81" s="26"/>
      <c r="L81" s="33">
        <v>0.7333</v>
      </c>
      <c r="M81" s="27">
        <v>0.1429</v>
      </c>
      <c r="N81" s="27">
        <v>0.4375</v>
      </c>
      <c r="O81" s="27">
        <v>0.5789</v>
      </c>
      <c r="P81" s="27">
        <v>0.75</v>
      </c>
      <c r="Q81" s="33">
        <v>0.4375</v>
      </c>
      <c r="R81" s="27">
        <v>0.6471</v>
      </c>
      <c r="S81" s="27">
        <v>0.4375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20" t="s">
        <v>103</v>
      </c>
      <c r="B82" s="21" t="s">
        <v>31</v>
      </c>
      <c r="C82" s="21">
        <v>5.0</v>
      </c>
      <c r="D82" s="21">
        <v>1.5110423008E10</v>
      </c>
      <c r="E82" s="21">
        <v>2.30004008E8</v>
      </c>
      <c r="F82" s="22" t="s">
        <v>108</v>
      </c>
      <c r="G82" s="23" t="str">
        <f t="shared" si="6"/>
        <v>Pending</v>
      </c>
      <c r="H82" s="24">
        <f t="shared" si="7"/>
        <v>-2</v>
      </c>
      <c r="I82" s="25">
        <f t="shared" si="8"/>
        <v>188</v>
      </c>
      <c r="J82" s="25">
        <f t="shared" si="9"/>
        <v>4</v>
      </c>
      <c r="K82" s="26"/>
      <c r="L82" s="33">
        <v>0.75</v>
      </c>
      <c r="M82" s="27">
        <v>0.7143</v>
      </c>
      <c r="N82" s="27">
        <v>0.7059</v>
      </c>
      <c r="O82" s="27">
        <v>0.85</v>
      </c>
      <c r="P82" s="27">
        <v>0.9375</v>
      </c>
      <c r="Q82" s="33">
        <v>0.75</v>
      </c>
      <c r="R82" s="27">
        <v>0.8824</v>
      </c>
      <c r="S82" s="27">
        <v>0.6875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20" t="s">
        <v>103</v>
      </c>
      <c r="B83" s="21" t="s">
        <v>31</v>
      </c>
      <c r="C83" s="21">
        <v>6.0</v>
      </c>
      <c r="D83" s="21">
        <v>1.5110423001E10</v>
      </c>
      <c r="E83" s="21">
        <v>2.30004009E8</v>
      </c>
      <c r="F83" s="22" t="s">
        <v>109</v>
      </c>
      <c r="G83" s="23" t="str">
        <f t="shared" si="6"/>
        <v>Pending</v>
      </c>
      <c r="H83" s="24">
        <f t="shared" si="7"/>
        <v>-10</v>
      </c>
      <c r="I83" s="25">
        <f t="shared" si="8"/>
        <v>169</v>
      </c>
      <c r="J83" s="25">
        <f t="shared" si="9"/>
        <v>23</v>
      </c>
      <c r="K83" s="26"/>
      <c r="L83" s="33">
        <v>0.4375</v>
      </c>
      <c r="M83" s="27">
        <v>0.7143</v>
      </c>
      <c r="N83" s="27">
        <v>0.6471</v>
      </c>
      <c r="O83" s="27">
        <v>0.7</v>
      </c>
      <c r="P83" s="27">
        <v>0.75</v>
      </c>
      <c r="Q83" s="33">
        <v>0.6875</v>
      </c>
      <c r="R83" s="27">
        <v>0.8824</v>
      </c>
      <c r="S83" s="27">
        <v>0.8125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20" t="s">
        <v>103</v>
      </c>
      <c r="B84" s="21" t="s">
        <v>31</v>
      </c>
      <c r="C84" s="21">
        <v>7.0</v>
      </c>
      <c r="D84" s="21">
        <v>1.5110423037E10</v>
      </c>
      <c r="E84" s="21">
        <v>2.30004011E8</v>
      </c>
      <c r="F84" s="22" t="s">
        <v>110</v>
      </c>
      <c r="G84" s="23" t="str">
        <f t="shared" si="6"/>
        <v>Pending</v>
      </c>
      <c r="H84" s="24">
        <f t="shared" si="7"/>
        <v>-22</v>
      </c>
      <c r="I84" s="25">
        <f t="shared" si="8"/>
        <v>139</v>
      </c>
      <c r="J84" s="25">
        <f t="shared" si="9"/>
        <v>53</v>
      </c>
      <c r="K84" s="26"/>
      <c r="L84" s="33">
        <v>0.625</v>
      </c>
      <c r="M84" s="27">
        <v>0.7857</v>
      </c>
      <c r="N84" s="27">
        <v>0.5882</v>
      </c>
      <c r="O84" s="27">
        <v>0.45</v>
      </c>
      <c r="P84" s="27">
        <v>0.5</v>
      </c>
      <c r="Q84" s="33">
        <v>0.5</v>
      </c>
      <c r="R84" s="27">
        <v>0.8235</v>
      </c>
      <c r="S84" s="27">
        <v>0.375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20" t="s">
        <v>103</v>
      </c>
      <c r="B85" s="21" t="s">
        <v>31</v>
      </c>
      <c r="C85" s="21">
        <v>8.0</v>
      </c>
      <c r="D85" s="21">
        <v>1.5110423028E10</v>
      </c>
      <c r="E85" s="21">
        <v>2.30004012E8</v>
      </c>
      <c r="F85" s="22" t="s">
        <v>111</v>
      </c>
      <c r="G85" s="23" t="str">
        <f t="shared" si="6"/>
        <v>Pending</v>
      </c>
      <c r="H85" s="24">
        <f t="shared" si="7"/>
        <v>-12</v>
      </c>
      <c r="I85" s="25">
        <f t="shared" si="8"/>
        <v>163</v>
      </c>
      <c r="J85" s="25">
        <f t="shared" si="9"/>
        <v>29</v>
      </c>
      <c r="K85" s="26"/>
      <c r="L85" s="33">
        <v>0.5625</v>
      </c>
      <c r="M85" s="27">
        <v>0.6429</v>
      </c>
      <c r="N85" s="27">
        <v>0.5882</v>
      </c>
      <c r="O85" s="27">
        <v>0.7</v>
      </c>
      <c r="P85" s="27">
        <v>0.6875</v>
      </c>
      <c r="Q85" s="33">
        <v>0.8125</v>
      </c>
      <c r="R85" s="27">
        <v>0.7647</v>
      </c>
      <c r="S85" s="27">
        <v>0.6875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20" t="s">
        <v>103</v>
      </c>
      <c r="B86" s="21" t="s">
        <v>31</v>
      </c>
      <c r="C86" s="21">
        <v>9.0</v>
      </c>
      <c r="D86" s="21">
        <v>1.5110423016E10</v>
      </c>
      <c r="E86" s="21">
        <v>2.30004015E8</v>
      </c>
      <c r="F86" s="22" t="s">
        <v>112</v>
      </c>
      <c r="G86" s="23" t="str">
        <f t="shared" si="6"/>
        <v>OK</v>
      </c>
      <c r="H86" s="24">
        <f t="shared" si="7"/>
        <v>14</v>
      </c>
      <c r="I86" s="25">
        <f t="shared" si="8"/>
        <v>224</v>
      </c>
      <c r="J86" s="25">
        <f t="shared" si="9"/>
        <v>0</v>
      </c>
      <c r="K86" s="26"/>
      <c r="L86" s="33">
        <v>0.8125</v>
      </c>
      <c r="M86" s="27">
        <v>1.0</v>
      </c>
      <c r="N86" s="27">
        <v>0.8824</v>
      </c>
      <c r="O86" s="27">
        <v>0.85</v>
      </c>
      <c r="P86" s="27">
        <v>1.0</v>
      </c>
      <c r="Q86" s="33">
        <v>1.0</v>
      </c>
      <c r="R86" s="27">
        <v>1.0</v>
      </c>
      <c r="S86" s="27">
        <v>0.9375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20" t="s">
        <v>103</v>
      </c>
      <c r="B87" s="21" t="s">
        <v>31</v>
      </c>
      <c r="C87" s="21">
        <v>10.0</v>
      </c>
      <c r="D87" s="21">
        <v>1.5110423044E10</v>
      </c>
      <c r="E87" s="21">
        <v>2.30004016E8</v>
      </c>
      <c r="F87" s="22" t="s">
        <v>113</v>
      </c>
      <c r="G87" s="23" t="str">
        <f t="shared" si="6"/>
        <v>OK</v>
      </c>
      <c r="H87" s="24">
        <f t="shared" si="7"/>
        <v>20</v>
      </c>
      <c r="I87" s="25">
        <f t="shared" si="8"/>
        <v>240</v>
      </c>
      <c r="J87" s="25">
        <f t="shared" si="9"/>
        <v>0</v>
      </c>
      <c r="K87" s="26"/>
      <c r="L87" s="33">
        <v>1.0</v>
      </c>
      <c r="M87" s="27">
        <v>1.0</v>
      </c>
      <c r="N87" s="27">
        <v>1.0</v>
      </c>
      <c r="O87" s="27">
        <v>1.0</v>
      </c>
      <c r="P87" s="27">
        <v>1.0</v>
      </c>
      <c r="Q87" s="33">
        <v>1.0</v>
      </c>
      <c r="R87" s="27">
        <v>1.0</v>
      </c>
      <c r="S87" s="27">
        <v>1.0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20" t="s">
        <v>103</v>
      </c>
      <c r="B88" s="21" t="s">
        <v>31</v>
      </c>
      <c r="C88" s="21">
        <v>11.0</v>
      </c>
      <c r="D88" s="21">
        <v>1.5110423023E10</v>
      </c>
      <c r="E88" s="21">
        <v>2.30004017E8</v>
      </c>
      <c r="F88" s="22" t="s">
        <v>114</v>
      </c>
      <c r="G88" s="23" t="str">
        <f t="shared" si="6"/>
        <v>Pending</v>
      </c>
      <c r="H88" s="24">
        <f t="shared" si="7"/>
        <v>-2</v>
      </c>
      <c r="I88" s="25">
        <f t="shared" si="8"/>
        <v>187</v>
      </c>
      <c r="J88" s="25">
        <f t="shared" si="9"/>
        <v>5</v>
      </c>
      <c r="K88" s="26"/>
      <c r="L88" s="33">
        <v>0.625</v>
      </c>
      <c r="M88" s="27">
        <v>1.0</v>
      </c>
      <c r="N88" s="27">
        <v>0.2353</v>
      </c>
      <c r="O88" s="27">
        <v>0.95</v>
      </c>
      <c r="P88" s="27">
        <v>0.8125</v>
      </c>
      <c r="Q88" s="33">
        <v>0.9375</v>
      </c>
      <c r="R88" s="27">
        <v>1.0</v>
      </c>
      <c r="S88" s="27">
        <v>0.6875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20" t="s">
        <v>103</v>
      </c>
      <c r="B89" s="21" t="s">
        <v>31</v>
      </c>
      <c r="C89" s="21">
        <v>12.0</v>
      </c>
      <c r="D89" s="21">
        <v>1.5110423061E10</v>
      </c>
      <c r="E89" s="21">
        <v>2.30004018E8</v>
      </c>
      <c r="F89" s="22" t="s">
        <v>115</v>
      </c>
      <c r="G89" s="23" t="str">
        <f t="shared" si="6"/>
        <v>Pending</v>
      </c>
      <c r="H89" s="24">
        <f t="shared" si="7"/>
        <v>-24</v>
      </c>
      <c r="I89" s="25">
        <f t="shared" si="8"/>
        <v>135</v>
      </c>
      <c r="J89" s="25">
        <f t="shared" si="9"/>
        <v>57</v>
      </c>
      <c r="K89" s="26"/>
      <c r="L89" s="33">
        <v>0.0</v>
      </c>
      <c r="M89" s="27">
        <v>0.1429</v>
      </c>
      <c r="N89" s="27">
        <v>0.5294</v>
      </c>
      <c r="O89" s="27">
        <v>0.45</v>
      </c>
      <c r="P89" s="27">
        <v>0.9375</v>
      </c>
      <c r="Q89" s="33">
        <v>0.8125</v>
      </c>
      <c r="R89" s="27">
        <v>0.9412</v>
      </c>
      <c r="S89" s="27">
        <v>0.6875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20" t="s">
        <v>103</v>
      </c>
      <c r="B90" s="21" t="s">
        <v>31</v>
      </c>
      <c r="C90" s="21">
        <v>13.0</v>
      </c>
      <c r="D90" s="21">
        <v>1.5110423036E10</v>
      </c>
      <c r="E90" s="21">
        <v>2.30004019E8</v>
      </c>
      <c r="F90" s="22" t="s">
        <v>116</v>
      </c>
      <c r="G90" s="23" t="str">
        <f t="shared" si="6"/>
        <v>Pending</v>
      </c>
      <c r="H90" s="24">
        <f t="shared" si="7"/>
        <v>-25</v>
      </c>
      <c r="I90" s="25">
        <f t="shared" si="8"/>
        <v>133</v>
      </c>
      <c r="J90" s="25">
        <f t="shared" si="9"/>
        <v>59</v>
      </c>
      <c r="K90" s="26"/>
      <c r="L90" s="33">
        <v>0.3333</v>
      </c>
      <c r="M90" s="27">
        <v>0.6429</v>
      </c>
      <c r="N90" s="27">
        <v>0.4375</v>
      </c>
      <c r="O90" s="27">
        <v>0.6842</v>
      </c>
      <c r="P90" s="27">
        <v>0.5625</v>
      </c>
      <c r="Q90" s="33">
        <v>0.4375</v>
      </c>
      <c r="R90" s="27">
        <v>0.8824</v>
      </c>
      <c r="S90" s="27">
        <v>0.4375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20" t="s">
        <v>103</v>
      </c>
      <c r="B91" s="21" t="s">
        <v>31</v>
      </c>
      <c r="C91" s="21">
        <v>14.0</v>
      </c>
      <c r="D91" s="21">
        <v>1.5110423056E10</v>
      </c>
      <c r="E91" s="21">
        <v>2.3000402E8</v>
      </c>
      <c r="F91" s="22" t="s">
        <v>117</v>
      </c>
      <c r="G91" s="23" t="str">
        <f t="shared" si="6"/>
        <v>OK</v>
      </c>
      <c r="H91" s="24">
        <f t="shared" si="7"/>
        <v>2</v>
      </c>
      <c r="I91" s="25">
        <f t="shared" si="8"/>
        <v>198</v>
      </c>
      <c r="J91" s="25">
        <f t="shared" si="9"/>
        <v>0</v>
      </c>
      <c r="K91" s="26"/>
      <c r="L91" s="33">
        <v>0.875</v>
      </c>
      <c r="M91" s="27">
        <v>0.6429</v>
      </c>
      <c r="N91" s="27">
        <v>0.7647</v>
      </c>
      <c r="O91" s="27">
        <v>0.8</v>
      </c>
      <c r="P91" s="27">
        <v>0.9375</v>
      </c>
      <c r="Q91" s="33">
        <v>0.8125</v>
      </c>
      <c r="R91" s="27">
        <v>0.8235</v>
      </c>
      <c r="S91" s="27">
        <v>0.9375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20" t="s">
        <v>103</v>
      </c>
      <c r="B92" s="21" t="s">
        <v>31</v>
      </c>
      <c r="C92" s="21">
        <v>15.0</v>
      </c>
      <c r="D92" s="21">
        <v>1.5110423038E10</v>
      </c>
      <c r="E92" s="21">
        <v>2.30004021E8</v>
      </c>
      <c r="F92" s="22" t="s">
        <v>118</v>
      </c>
      <c r="G92" s="23" t="str">
        <f t="shared" si="6"/>
        <v>OK</v>
      </c>
      <c r="H92" s="24">
        <f t="shared" si="7"/>
        <v>5</v>
      </c>
      <c r="I92" s="25">
        <f t="shared" si="8"/>
        <v>203</v>
      </c>
      <c r="J92" s="25">
        <f t="shared" si="9"/>
        <v>0</v>
      </c>
      <c r="K92" s="26"/>
      <c r="L92" s="33">
        <v>0.0</v>
      </c>
      <c r="M92" s="27">
        <v>1.0</v>
      </c>
      <c r="N92" s="27">
        <v>0.8235</v>
      </c>
      <c r="O92" s="27">
        <v>0.95</v>
      </c>
      <c r="P92" s="27">
        <v>1.0</v>
      </c>
      <c r="Q92" s="33">
        <v>1.0</v>
      </c>
      <c r="R92" s="27">
        <v>1.0</v>
      </c>
      <c r="S92" s="27">
        <v>1.0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20" t="s">
        <v>103</v>
      </c>
      <c r="B93" s="21" t="s">
        <v>31</v>
      </c>
      <c r="C93" s="21">
        <v>16.0</v>
      </c>
      <c r="D93" s="21">
        <v>1.5110423032E10</v>
      </c>
      <c r="E93" s="21">
        <v>2.30004023E8</v>
      </c>
      <c r="F93" s="22" t="s">
        <v>119</v>
      </c>
      <c r="G93" s="23" t="str">
        <f t="shared" si="6"/>
        <v>Pending</v>
      </c>
      <c r="H93" s="24">
        <f t="shared" si="7"/>
        <v>-18</v>
      </c>
      <c r="I93" s="25">
        <f t="shared" si="8"/>
        <v>150</v>
      </c>
      <c r="J93" s="25">
        <f t="shared" si="9"/>
        <v>42</v>
      </c>
      <c r="K93" s="26"/>
      <c r="L93" s="33">
        <v>0.3125</v>
      </c>
      <c r="M93" s="27">
        <v>0.5714</v>
      </c>
      <c r="N93" s="27">
        <v>0.5882</v>
      </c>
      <c r="O93" s="27">
        <v>0.7</v>
      </c>
      <c r="P93" s="27">
        <v>0.5</v>
      </c>
      <c r="Q93" s="33">
        <v>0.75</v>
      </c>
      <c r="R93" s="27">
        <v>0.7647</v>
      </c>
      <c r="S93" s="27">
        <v>0.8125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20" t="s">
        <v>103</v>
      </c>
      <c r="B94" s="21" t="s">
        <v>31</v>
      </c>
      <c r="C94" s="21">
        <v>17.0</v>
      </c>
      <c r="D94" s="21">
        <v>1.511042303E10</v>
      </c>
      <c r="E94" s="21">
        <v>2.30004025E8</v>
      </c>
      <c r="F94" s="22" t="s">
        <v>120</v>
      </c>
      <c r="G94" s="23" t="str">
        <f t="shared" si="6"/>
        <v>Pending</v>
      </c>
      <c r="H94" s="24">
        <f t="shared" si="7"/>
        <v>-2</v>
      </c>
      <c r="I94" s="25">
        <f t="shared" si="8"/>
        <v>188</v>
      </c>
      <c r="J94" s="25">
        <f t="shared" si="9"/>
        <v>4</v>
      </c>
      <c r="K94" s="26"/>
      <c r="L94" s="33">
        <v>0.6875</v>
      </c>
      <c r="M94" s="27">
        <v>0.8571</v>
      </c>
      <c r="N94" s="27">
        <v>0.8235</v>
      </c>
      <c r="O94" s="27">
        <v>0.95</v>
      </c>
      <c r="P94" s="27">
        <v>0.5625</v>
      </c>
      <c r="Q94" s="33">
        <v>0.5</v>
      </c>
      <c r="R94" s="27">
        <v>1.0</v>
      </c>
      <c r="S94" s="27">
        <v>0.875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20" t="s">
        <v>103</v>
      </c>
      <c r="B95" s="21" t="s">
        <v>31</v>
      </c>
      <c r="C95" s="21">
        <v>18.0</v>
      </c>
      <c r="D95" s="21">
        <v>1.5110423027E10</v>
      </c>
      <c r="E95" s="21">
        <v>2.30004026E8</v>
      </c>
      <c r="F95" s="22" t="s">
        <v>121</v>
      </c>
      <c r="G95" s="23" t="str">
        <f t="shared" si="6"/>
        <v>OK</v>
      </c>
      <c r="H95" s="24">
        <f t="shared" si="7"/>
        <v>18</v>
      </c>
      <c r="I95" s="25">
        <f t="shared" si="8"/>
        <v>235</v>
      </c>
      <c r="J95" s="25">
        <f t="shared" si="9"/>
        <v>0</v>
      </c>
      <c r="K95" s="26"/>
      <c r="L95" s="33">
        <v>0.9375</v>
      </c>
      <c r="M95" s="27">
        <v>1.0</v>
      </c>
      <c r="N95" s="27">
        <v>1.0</v>
      </c>
      <c r="O95" s="27">
        <v>0.9</v>
      </c>
      <c r="P95" s="27">
        <v>1.0</v>
      </c>
      <c r="Q95" s="33">
        <v>1.0</v>
      </c>
      <c r="R95" s="27">
        <v>1.0</v>
      </c>
      <c r="S95" s="27">
        <v>1.0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20" t="s">
        <v>103</v>
      </c>
      <c r="B96" s="21" t="s">
        <v>31</v>
      </c>
      <c r="C96" s="21">
        <v>19.0</v>
      </c>
      <c r="D96" s="21">
        <v>1.511042304E10</v>
      </c>
      <c r="E96" s="21">
        <v>2.30004027E8</v>
      </c>
      <c r="F96" s="22" t="s">
        <v>122</v>
      </c>
      <c r="G96" s="23" t="str">
        <f t="shared" si="6"/>
        <v>Pending</v>
      </c>
      <c r="H96" s="24">
        <f t="shared" si="7"/>
        <v>-61</v>
      </c>
      <c r="I96" s="25">
        <f t="shared" si="8"/>
        <v>46</v>
      </c>
      <c r="J96" s="25">
        <f t="shared" si="9"/>
        <v>146</v>
      </c>
      <c r="K96" s="26"/>
      <c r="L96" s="33">
        <v>0.1875</v>
      </c>
      <c r="M96" s="27">
        <v>0.0</v>
      </c>
      <c r="N96" s="27">
        <v>0.2353</v>
      </c>
      <c r="O96" s="27">
        <v>0.25</v>
      </c>
      <c r="P96" s="27">
        <v>0.375</v>
      </c>
      <c r="Q96" s="33">
        <v>0.125</v>
      </c>
      <c r="R96" s="27">
        <v>0.2941</v>
      </c>
      <c r="S96" s="27">
        <v>0.0625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20" t="s">
        <v>103</v>
      </c>
      <c r="B97" s="21" t="s">
        <v>31</v>
      </c>
      <c r="C97" s="21">
        <v>20.0</v>
      </c>
      <c r="D97" s="21">
        <v>1.5110423034E10</v>
      </c>
      <c r="E97" s="21">
        <v>2.30004028E8</v>
      </c>
      <c r="F97" s="22" t="s">
        <v>123</v>
      </c>
      <c r="G97" s="23" t="str">
        <f t="shared" si="6"/>
        <v>OK</v>
      </c>
      <c r="H97" s="24">
        <f t="shared" si="7"/>
        <v>4</v>
      </c>
      <c r="I97" s="25">
        <f t="shared" si="8"/>
        <v>202</v>
      </c>
      <c r="J97" s="25">
        <f t="shared" si="9"/>
        <v>0</v>
      </c>
      <c r="K97" s="26"/>
      <c r="L97" s="33">
        <v>0.8</v>
      </c>
      <c r="M97" s="27">
        <v>0.8571</v>
      </c>
      <c r="N97" s="27">
        <v>0.9375</v>
      </c>
      <c r="O97" s="27">
        <v>0.6316</v>
      </c>
      <c r="P97" s="27">
        <v>0.8125</v>
      </c>
      <c r="Q97" s="33">
        <v>1.0</v>
      </c>
      <c r="R97" s="27">
        <v>1.0</v>
      </c>
      <c r="S97" s="27">
        <v>0.6875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20" t="s">
        <v>103</v>
      </c>
      <c r="B98" s="21" t="s">
        <v>31</v>
      </c>
      <c r="C98" s="21">
        <v>21.0</v>
      </c>
      <c r="D98" s="21">
        <v>1.5110423041E10</v>
      </c>
      <c r="E98" s="21">
        <v>2.30004029E8</v>
      </c>
      <c r="F98" s="22" t="s">
        <v>124</v>
      </c>
      <c r="G98" s="23" t="str">
        <f t="shared" si="6"/>
        <v>OK</v>
      </c>
      <c r="H98" s="24">
        <f t="shared" si="7"/>
        <v>3</v>
      </c>
      <c r="I98" s="25">
        <f t="shared" si="8"/>
        <v>200</v>
      </c>
      <c r="J98" s="25">
        <f t="shared" si="9"/>
        <v>0</v>
      </c>
      <c r="K98" s="26"/>
      <c r="L98" s="33">
        <v>0.8</v>
      </c>
      <c r="M98" s="27">
        <v>1.0</v>
      </c>
      <c r="N98" s="27">
        <v>0.8125</v>
      </c>
      <c r="O98" s="27">
        <v>0.6842</v>
      </c>
      <c r="P98" s="27">
        <v>0.9375</v>
      </c>
      <c r="Q98" s="33">
        <v>0.9375</v>
      </c>
      <c r="R98" s="27">
        <v>1.0</v>
      </c>
      <c r="S98" s="27">
        <v>0.5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20" t="s">
        <v>103</v>
      </c>
      <c r="B99" s="21" t="s">
        <v>31</v>
      </c>
      <c r="C99" s="21">
        <v>22.0</v>
      </c>
      <c r="D99" s="21">
        <v>1.5110423033E10</v>
      </c>
      <c r="E99" s="21">
        <v>2.3000403E8</v>
      </c>
      <c r="F99" s="22" t="s">
        <v>125</v>
      </c>
      <c r="G99" s="23" t="str">
        <f t="shared" si="6"/>
        <v>OK</v>
      </c>
      <c r="H99" s="24">
        <f t="shared" si="7"/>
        <v>8</v>
      </c>
      <c r="I99" s="25">
        <f t="shared" si="8"/>
        <v>210</v>
      </c>
      <c r="J99" s="25">
        <f t="shared" si="9"/>
        <v>0</v>
      </c>
      <c r="K99" s="26"/>
      <c r="L99" s="33">
        <v>0.9375</v>
      </c>
      <c r="M99" s="27">
        <v>0.8571</v>
      </c>
      <c r="N99" s="27">
        <v>0.8235</v>
      </c>
      <c r="O99" s="27">
        <v>0.7</v>
      </c>
      <c r="P99" s="27">
        <v>1.0</v>
      </c>
      <c r="Q99" s="33">
        <v>0.875</v>
      </c>
      <c r="R99" s="27">
        <v>0.8824</v>
      </c>
      <c r="S99" s="27">
        <v>0.9375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20" t="s">
        <v>103</v>
      </c>
      <c r="B100" s="21" t="s">
        <v>31</v>
      </c>
      <c r="C100" s="21">
        <v>23.0</v>
      </c>
      <c r="D100" s="21">
        <v>1.5110423047E10</v>
      </c>
      <c r="E100" s="21">
        <v>2.30004031E8</v>
      </c>
      <c r="F100" s="22" t="s">
        <v>126</v>
      </c>
      <c r="G100" s="23" t="str">
        <f t="shared" si="6"/>
        <v>Pending</v>
      </c>
      <c r="H100" s="24">
        <f t="shared" si="7"/>
        <v>-7</v>
      </c>
      <c r="I100" s="25">
        <f t="shared" si="8"/>
        <v>175</v>
      </c>
      <c r="J100" s="25">
        <f t="shared" si="9"/>
        <v>17</v>
      </c>
      <c r="K100" s="26"/>
      <c r="L100" s="33">
        <v>0.625</v>
      </c>
      <c r="M100" s="27">
        <v>0.4286</v>
      </c>
      <c r="N100" s="27">
        <v>0.7647</v>
      </c>
      <c r="O100" s="27">
        <v>0.75</v>
      </c>
      <c r="P100" s="27">
        <v>1.0</v>
      </c>
      <c r="Q100" s="33">
        <v>0.75</v>
      </c>
      <c r="R100" s="27">
        <v>1.0</v>
      </c>
      <c r="S100" s="27">
        <v>0.5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20" t="s">
        <v>103</v>
      </c>
      <c r="B101" s="21" t="s">
        <v>31</v>
      </c>
      <c r="C101" s="21">
        <v>24.0</v>
      </c>
      <c r="D101" s="21">
        <v>1.5110423017E10</v>
      </c>
      <c r="E101" s="21">
        <v>2.30004033E8</v>
      </c>
      <c r="F101" s="22" t="s">
        <v>127</v>
      </c>
      <c r="G101" s="23" t="str">
        <f t="shared" si="6"/>
        <v>Pending</v>
      </c>
      <c r="H101" s="24">
        <f t="shared" si="7"/>
        <v>-6</v>
      </c>
      <c r="I101" s="25">
        <f t="shared" si="8"/>
        <v>178</v>
      </c>
      <c r="J101" s="25">
        <f t="shared" si="9"/>
        <v>14</v>
      </c>
      <c r="K101" s="26"/>
      <c r="L101" s="33">
        <v>0.0</v>
      </c>
      <c r="M101" s="27">
        <v>0.0</v>
      </c>
      <c r="N101" s="27">
        <v>1.0</v>
      </c>
      <c r="O101" s="27">
        <v>0.9474</v>
      </c>
      <c r="P101" s="27">
        <v>1.0</v>
      </c>
      <c r="Q101" s="33">
        <v>1.0</v>
      </c>
      <c r="R101" s="27">
        <v>1.0</v>
      </c>
      <c r="S101" s="27">
        <v>1.0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20" t="s">
        <v>103</v>
      </c>
      <c r="B102" s="21" t="s">
        <v>31</v>
      </c>
      <c r="C102" s="21">
        <v>25.0</v>
      </c>
      <c r="D102" s="21">
        <v>1.5110423048E10</v>
      </c>
      <c r="E102" s="21">
        <v>2.30004034E8</v>
      </c>
      <c r="F102" s="22" t="s">
        <v>128</v>
      </c>
      <c r="G102" s="23" t="str">
        <f t="shared" si="6"/>
        <v>Pending</v>
      </c>
      <c r="H102" s="24">
        <f t="shared" si="7"/>
        <v>-2</v>
      </c>
      <c r="I102" s="25">
        <f t="shared" si="8"/>
        <v>187</v>
      </c>
      <c r="J102" s="25">
        <f t="shared" si="9"/>
        <v>5</v>
      </c>
      <c r="K102" s="26"/>
      <c r="L102" s="33">
        <v>0.0</v>
      </c>
      <c r="M102" s="27">
        <v>0.8571</v>
      </c>
      <c r="N102" s="27">
        <v>0.9375</v>
      </c>
      <c r="O102" s="27">
        <v>0.7368</v>
      </c>
      <c r="P102" s="27">
        <v>0.75</v>
      </c>
      <c r="Q102" s="33">
        <v>1.0</v>
      </c>
      <c r="R102" s="27">
        <v>0.9412</v>
      </c>
      <c r="S102" s="27">
        <v>1.0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20" t="s">
        <v>103</v>
      </c>
      <c r="B103" s="21" t="s">
        <v>31</v>
      </c>
      <c r="C103" s="21">
        <v>26.0</v>
      </c>
      <c r="D103" s="21">
        <v>1.5110423031E10</v>
      </c>
      <c r="E103" s="21">
        <v>2.30004037E8</v>
      </c>
      <c r="F103" s="22" t="s">
        <v>129</v>
      </c>
      <c r="G103" s="23" t="str">
        <f t="shared" si="6"/>
        <v>Pending</v>
      </c>
      <c r="H103" s="24">
        <f t="shared" si="7"/>
        <v>-10</v>
      </c>
      <c r="I103" s="25">
        <f t="shared" si="8"/>
        <v>169</v>
      </c>
      <c r="J103" s="25">
        <f t="shared" si="9"/>
        <v>23</v>
      </c>
      <c r="K103" s="26"/>
      <c r="L103" s="33">
        <v>0.875</v>
      </c>
      <c r="M103" s="27">
        <v>0.2143</v>
      </c>
      <c r="N103" s="27">
        <v>0.7647</v>
      </c>
      <c r="O103" s="27">
        <v>0.95</v>
      </c>
      <c r="P103" s="27">
        <v>1.0</v>
      </c>
      <c r="Q103" s="33">
        <v>0.875</v>
      </c>
      <c r="R103" s="27">
        <v>0.9412</v>
      </c>
      <c r="S103" s="27">
        <v>0.0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20" t="s">
        <v>103</v>
      </c>
      <c r="B104" s="21" t="s">
        <v>31</v>
      </c>
      <c r="C104" s="21">
        <v>27.0</v>
      </c>
      <c r="D104" s="21">
        <v>1.5110423043E10</v>
      </c>
      <c r="E104" s="21">
        <v>2.30004038E8</v>
      </c>
      <c r="F104" s="22" t="s">
        <v>130</v>
      </c>
      <c r="G104" s="23" t="str">
        <f t="shared" si="6"/>
        <v>OK</v>
      </c>
      <c r="H104" s="24">
        <f t="shared" si="7"/>
        <v>9</v>
      </c>
      <c r="I104" s="25">
        <f t="shared" si="8"/>
        <v>213</v>
      </c>
      <c r="J104" s="25">
        <f t="shared" si="9"/>
        <v>0</v>
      </c>
      <c r="K104" s="26"/>
      <c r="L104" s="33">
        <v>0.875</v>
      </c>
      <c r="M104" s="27">
        <v>1.0</v>
      </c>
      <c r="N104" s="27">
        <v>0.9412</v>
      </c>
      <c r="O104" s="27">
        <v>0.6</v>
      </c>
      <c r="P104" s="27">
        <v>1.0</v>
      </c>
      <c r="Q104" s="33">
        <v>0.75</v>
      </c>
      <c r="R104" s="27">
        <v>1.0</v>
      </c>
      <c r="S104" s="27">
        <v>0.9375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20" t="s">
        <v>103</v>
      </c>
      <c r="B105" s="21" t="s">
        <v>31</v>
      </c>
      <c r="C105" s="21">
        <v>28.0</v>
      </c>
      <c r="D105" s="21">
        <v>1.5110423039E10</v>
      </c>
      <c r="E105" s="21">
        <v>2.30004039E8</v>
      </c>
      <c r="F105" s="22" t="s">
        <v>131</v>
      </c>
      <c r="G105" s="23" t="str">
        <f t="shared" si="6"/>
        <v>Pending</v>
      </c>
      <c r="H105" s="24">
        <f t="shared" si="7"/>
        <v>-11</v>
      </c>
      <c r="I105" s="25">
        <f t="shared" si="8"/>
        <v>165</v>
      </c>
      <c r="J105" s="25">
        <f t="shared" si="9"/>
        <v>27</v>
      </c>
      <c r="K105" s="26"/>
      <c r="L105" s="33">
        <v>0.0</v>
      </c>
      <c r="M105" s="27">
        <v>0.8571</v>
      </c>
      <c r="N105" s="27">
        <v>0.5882</v>
      </c>
      <c r="O105" s="27">
        <v>0.85</v>
      </c>
      <c r="P105" s="27">
        <v>0.8125</v>
      </c>
      <c r="Q105" s="33">
        <v>0.6875</v>
      </c>
      <c r="R105" s="27">
        <v>0.7647</v>
      </c>
      <c r="S105" s="27">
        <v>0.9375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20" t="s">
        <v>103</v>
      </c>
      <c r="B106" s="21" t="s">
        <v>31</v>
      </c>
      <c r="C106" s="21">
        <v>29.0</v>
      </c>
      <c r="D106" s="21">
        <v>1.5110423057E10</v>
      </c>
      <c r="E106" s="21">
        <v>2.30004041E8</v>
      </c>
      <c r="F106" s="22" t="s">
        <v>132</v>
      </c>
      <c r="G106" s="23" t="str">
        <f t="shared" si="6"/>
        <v>Pending</v>
      </c>
      <c r="H106" s="24">
        <f t="shared" si="7"/>
        <v>-24</v>
      </c>
      <c r="I106" s="25">
        <f t="shared" si="8"/>
        <v>135</v>
      </c>
      <c r="J106" s="25">
        <f t="shared" si="9"/>
        <v>57</v>
      </c>
      <c r="K106" s="26"/>
      <c r="L106" s="33">
        <v>0.5625</v>
      </c>
      <c r="M106" s="27">
        <v>0.6429</v>
      </c>
      <c r="N106" s="27">
        <v>0.8235</v>
      </c>
      <c r="O106" s="27">
        <v>0.35</v>
      </c>
      <c r="P106" s="27">
        <v>0.3125</v>
      </c>
      <c r="Q106" s="33">
        <v>0.4375</v>
      </c>
      <c r="R106" s="27">
        <v>0.8824</v>
      </c>
      <c r="S106" s="27">
        <v>0.5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20" t="s">
        <v>103</v>
      </c>
      <c r="B107" s="21" t="s">
        <v>31</v>
      </c>
      <c r="C107" s="21">
        <v>30.0</v>
      </c>
      <c r="D107" s="21">
        <v>1.5110423002E10</v>
      </c>
      <c r="E107" s="21">
        <v>2.30004045E8</v>
      </c>
      <c r="F107" s="22" t="s">
        <v>133</v>
      </c>
      <c r="G107" s="23" t="str">
        <f t="shared" si="6"/>
        <v>Pending</v>
      </c>
      <c r="H107" s="24">
        <f t="shared" si="7"/>
        <v>-8</v>
      </c>
      <c r="I107" s="25">
        <f t="shared" si="8"/>
        <v>172</v>
      </c>
      <c r="J107" s="25">
        <f t="shared" si="9"/>
        <v>20</v>
      </c>
      <c r="K107" s="26"/>
      <c r="L107" s="33">
        <v>0.5</v>
      </c>
      <c r="M107" s="27">
        <v>0.7857</v>
      </c>
      <c r="N107" s="27">
        <v>0.5882</v>
      </c>
      <c r="O107" s="27">
        <v>0.6</v>
      </c>
      <c r="P107" s="27">
        <v>0.875</v>
      </c>
      <c r="Q107" s="33">
        <v>0.5625</v>
      </c>
      <c r="R107" s="27">
        <v>0.8824</v>
      </c>
      <c r="S107" s="27">
        <v>0.9375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20" t="s">
        <v>103</v>
      </c>
      <c r="B108" s="21" t="s">
        <v>31</v>
      </c>
      <c r="C108" s="21">
        <v>31.0</v>
      </c>
      <c r="D108" s="21">
        <v>1.5110423012E10</v>
      </c>
      <c r="E108" s="21">
        <v>2.30004047E8</v>
      </c>
      <c r="F108" s="22" t="s">
        <v>134</v>
      </c>
      <c r="G108" s="23" t="str">
        <f t="shared" si="6"/>
        <v>Pending</v>
      </c>
      <c r="H108" s="24">
        <f t="shared" si="7"/>
        <v>-25</v>
      </c>
      <c r="I108" s="25">
        <f t="shared" si="8"/>
        <v>131</v>
      </c>
      <c r="J108" s="25">
        <f t="shared" si="9"/>
        <v>61</v>
      </c>
      <c r="K108" s="26"/>
      <c r="L108" s="33">
        <v>0.8</v>
      </c>
      <c r="M108" s="27">
        <v>0.2143</v>
      </c>
      <c r="N108" s="27">
        <v>0.5</v>
      </c>
      <c r="O108" s="27">
        <v>0.5263</v>
      </c>
      <c r="P108" s="27">
        <v>0.5</v>
      </c>
      <c r="Q108" s="33">
        <v>0.875</v>
      </c>
      <c r="R108" s="27">
        <v>0.7647</v>
      </c>
      <c r="S108" s="27">
        <v>0.1875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20" t="s">
        <v>103</v>
      </c>
      <c r="B109" s="21" t="s">
        <v>55</v>
      </c>
      <c r="C109" s="21">
        <v>32.0</v>
      </c>
      <c r="D109" s="21">
        <v>1.5110423009E10</v>
      </c>
      <c r="E109" s="21">
        <v>2.30004048E8</v>
      </c>
      <c r="F109" s="22" t="s">
        <v>135</v>
      </c>
      <c r="G109" s="23" t="str">
        <f t="shared" si="6"/>
        <v>OK</v>
      </c>
      <c r="H109" s="24">
        <f t="shared" si="7"/>
        <v>11</v>
      </c>
      <c r="I109" s="25">
        <f t="shared" si="8"/>
        <v>219</v>
      </c>
      <c r="J109" s="25">
        <f t="shared" si="9"/>
        <v>0</v>
      </c>
      <c r="K109" s="26"/>
      <c r="L109" s="33">
        <v>1.0</v>
      </c>
      <c r="M109" s="27">
        <v>1.0</v>
      </c>
      <c r="N109" s="27">
        <v>1.0</v>
      </c>
      <c r="O109" s="27">
        <v>0.75</v>
      </c>
      <c r="P109" s="27">
        <v>0.9375</v>
      </c>
      <c r="Q109" s="33">
        <v>0.875</v>
      </c>
      <c r="R109" s="27">
        <v>1.0</v>
      </c>
      <c r="S109" s="27">
        <v>0.7333</v>
      </c>
      <c r="T109" s="3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20" t="s">
        <v>103</v>
      </c>
      <c r="B110" s="21" t="s">
        <v>55</v>
      </c>
      <c r="C110" s="21">
        <v>33.0</v>
      </c>
      <c r="D110" s="21">
        <v>1.5110423019E10</v>
      </c>
      <c r="E110" s="21">
        <v>2.30004049E8</v>
      </c>
      <c r="F110" s="22" t="s">
        <v>136</v>
      </c>
      <c r="G110" s="23" t="str">
        <f t="shared" si="6"/>
        <v>OK</v>
      </c>
      <c r="H110" s="24">
        <f t="shared" si="7"/>
        <v>4</v>
      </c>
      <c r="I110" s="25">
        <f t="shared" si="8"/>
        <v>201</v>
      </c>
      <c r="J110" s="25">
        <f t="shared" si="9"/>
        <v>0</v>
      </c>
      <c r="K110" s="26"/>
      <c r="L110" s="33">
        <v>0.5625</v>
      </c>
      <c r="M110" s="27">
        <v>0.9231</v>
      </c>
      <c r="N110" s="27">
        <v>1.0</v>
      </c>
      <c r="O110" s="27">
        <v>0.6842</v>
      </c>
      <c r="P110" s="27">
        <v>1.0</v>
      </c>
      <c r="Q110" s="33">
        <v>1.0</v>
      </c>
      <c r="R110" s="27">
        <v>0.9412</v>
      </c>
      <c r="S110" s="27">
        <v>0.6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20" t="s">
        <v>103</v>
      </c>
      <c r="B111" s="21" t="s">
        <v>55</v>
      </c>
      <c r="C111" s="21">
        <v>34.0</v>
      </c>
      <c r="D111" s="21">
        <v>1.5110423045E10</v>
      </c>
      <c r="E111" s="21">
        <v>2.3000405E8</v>
      </c>
      <c r="F111" s="22" t="s">
        <v>137</v>
      </c>
      <c r="G111" s="23" t="str">
        <f t="shared" si="6"/>
        <v>Pending</v>
      </c>
      <c r="H111" s="24">
        <f t="shared" si="7"/>
        <v>-22</v>
      </c>
      <c r="I111" s="25">
        <f t="shared" si="8"/>
        <v>139</v>
      </c>
      <c r="J111" s="25">
        <f t="shared" si="9"/>
        <v>53</v>
      </c>
      <c r="K111" s="26"/>
      <c r="L111" s="33">
        <v>0.625</v>
      </c>
      <c r="M111" s="27">
        <v>0.2308</v>
      </c>
      <c r="N111" s="27">
        <v>0.8125</v>
      </c>
      <c r="O111" s="27">
        <v>0.5263</v>
      </c>
      <c r="P111" s="27">
        <v>0.4375</v>
      </c>
      <c r="Q111" s="33">
        <v>0.6875</v>
      </c>
      <c r="R111" s="27">
        <v>0.7647</v>
      </c>
      <c r="S111" s="27">
        <v>0.5333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20" t="s">
        <v>103</v>
      </c>
      <c r="B112" s="21" t="s">
        <v>55</v>
      </c>
      <c r="C112" s="21">
        <v>35.0</v>
      </c>
      <c r="D112" s="21">
        <v>1.5110423006E10</v>
      </c>
      <c r="E112" s="21">
        <v>2.30004052E8</v>
      </c>
      <c r="F112" s="22" t="s">
        <v>138</v>
      </c>
      <c r="G112" s="23" t="str">
        <f t="shared" si="6"/>
        <v>OK</v>
      </c>
      <c r="H112" s="24">
        <f t="shared" si="7"/>
        <v>13</v>
      </c>
      <c r="I112" s="25">
        <f t="shared" si="8"/>
        <v>222</v>
      </c>
      <c r="J112" s="25">
        <f t="shared" si="9"/>
        <v>0</v>
      </c>
      <c r="K112" s="26"/>
      <c r="L112" s="33">
        <v>1.0</v>
      </c>
      <c r="M112" s="27">
        <v>1.0</v>
      </c>
      <c r="N112" s="27">
        <v>1.0</v>
      </c>
      <c r="O112" s="27">
        <v>0.9</v>
      </c>
      <c r="P112" s="27">
        <v>0.8125</v>
      </c>
      <c r="Q112" s="33">
        <v>0.8125</v>
      </c>
      <c r="R112" s="27">
        <v>0.8824</v>
      </c>
      <c r="S112" s="27">
        <v>1.0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20" t="s">
        <v>103</v>
      </c>
      <c r="B113" s="21" t="s">
        <v>55</v>
      </c>
      <c r="C113" s="21">
        <v>36.0</v>
      </c>
      <c r="D113" s="21">
        <v>1.5110423025E10</v>
      </c>
      <c r="E113" s="21">
        <v>2.30004054E8</v>
      </c>
      <c r="F113" s="22" t="s">
        <v>139</v>
      </c>
      <c r="G113" s="23" t="str">
        <f t="shared" si="6"/>
        <v>Pending</v>
      </c>
      <c r="H113" s="24">
        <f t="shared" si="7"/>
        <v>-2</v>
      </c>
      <c r="I113" s="25">
        <f t="shared" si="8"/>
        <v>188</v>
      </c>
      <c r="J113" s="25">
        <f t="shared" si="9"/>
        <v>4</v>
      </c>
      <c r="K113" s="26"/>
      <c r="L113" s="33">
        <v>0.8</v>
      </c>
      <c r="M113" s="27">
        <v>1.0</v>
      </c>
      <c r="N113" s="27">
        <v>0.4118</v>
      </c>
      <c r="O113" s="27">
        <v>0.5</v>
      </c>
      <c r="P113" s="27">
        <v>0.9375</v>
      </c>
      <c r="Q113" s="33">
        <v>0.8125</v>
      </c>
      <c r="R113" s="27">
        <v>0.8824</v>
      </c>
      <c r="S113" s="27">
        <v>0.9333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20" t="s">
        <v>103</v>
      </c>
      <c r="B114" s="21" t="s">
        <v>55</v>
      </c>
      <c r="C114" s="21">
        <v>37.0</v>
      </c>
      <c r="D114" s="21">
        <v>1.5110423003E10</v>
      </c>
      <c r="E114" s="21">
        <v>2.30004055E8</v>
      </c>
      <c r="F114" s="22" t="s">
        <v>140</v>
      </c>
      <c r="G114" s="23" t="str">
        <f t="shared" si="6"/>
        <v>Pending</v>
      </c>
      <c r="H114" s="24">
        <f t="shared" si="7"/>
        <v>-43</v>
      </c>
      <c r="I114" s="25">
        <f t="shared" si="8"/>
        <v>89</v>
      </c>
      <c r="J114" s="25">
        <f t="shared" si="9"/>
        <v>103</v>
      </c>
      <c r="K114" s="26"/>
      <c r="L114" s="33">
        <v>0.1333</v>
      </c>
      <c r="M114" s="27">
        <v>0.4615</v>
      </c>
      <c r="N114" s="27">
        <v>0.1765</v>
      </c>
      <c r="O114" s="27">
        <v>0.15</v>
      </c>
      <c r="P114" s="27">
        <v>0.4375</v>
      </c>
      <c r="Q114" s="33">
        <v>0.5</v>
      </c>
      <c r="R114" s="27">
        <v>0.6471</v>
      </c>
      <c r="S114" s="27">
        <v>0.4667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20" t="s">
        <v>103</v>
      </c>
      <c r="B115" s="21" t="s">
        <v>55</v>
      </c>
      <c r="C115" s="21">
        <v>38.0</v>
      </c>
      <c r="D115" s="21">
        <v>1.5110423011E10</v>
      </c>
      <c r="E115" s="21">
        <v>2.30004057E8</v>
      </c>
      <c r="F115" s="22" t="s">
        <v>141</v>
      </c>
      <c r="G115" s="23" t="str">
        <f t="shared" si="6"/>
        <v>Pending</v>
      </c>
      <c r="H115" s="24">
        <f t="shared" si="7"/>
        <v>-23</v>
      </c>
      <c r="I115" s="25">
        <f t="shared" si="8"/>
        <v>138</v>
      </c>
      <c r="J115" s="25">
        <f t="shared" si="9"/>
        <v>54</v>
      </c>
      <c r="K115" s="26"/>
      <c r="L115" s="33">
        <v>0.2</v>
      </c>
      <c r="M115" s="27">
        <v>0.3846</v>
      </c>
      <c r="N115" s="27">
        <v>0.5294</v>
      </c>
      <c r="O115" s="27">
        <v>0.55</v>
      </c>
      <c r="P115" s="27">
        <v>0.8125</v>
      </c>
      <c r="Q115" s="33">
        <v>0.5</v>
      </c>
      <c r="R115" s="27">
        <v>0.8235</v>
      </c>
      <c r="S115" s="27">
        <v>0.8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20" t="s">
        <v>103</v>
      </c>
      <c r="B116" s="21" t="s">
        <v>55</v>
      </c>
      <c r="C116" s="21">
        <v>39.0</v>
      </c>
      <c r="D116" s="21">
        <v>1.5110423022E10</v>
      </c>
      <c r="E116" s="21">
        <v>2.30004058E8</v>
      </c>
      <c r="F116" s="22" t="s">
        <v>142</v>
      </c>
      <c r="G116" s="23" t="str">
        <f t="shared" si="6"/>
        <v>Pending</v>
      </c>
      <c r="H116" s="24">
        <f t="shared" si="7"/>
        <v>-16</v>
      </c>
      <c r="I116" s="25">
        <f t="shared" si="8"/>
        <v>153</v>
      </c>
      <c r="J116" s="25">
        <f t="shared" si="9"/>
        <v>39</v>
      </c>
      <c r="K116" s="26"/>
      <c r="L116" s="33">
        <v>0.5333</v>
      </c>
      <c r="M116" s="27">
        <v>0.6923</v>
      </c>
      <c r="N116" s="27">
        <v>0.4375</v>
      </c>
      <c r="O116" s="27">
        <v>0.6316</v>
      </c>
      <c r="P116" s="27">
        <v>0.625</v>
      </c>
      <c r="Q116" s="33">
        <v>0.8125</v>
      </c>
      <c r="R116" s="27">
        <v>0.7647</v>
      </c>
      <c r="S116" s="27">
        <v>0.6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20" t="s">
        <v>103</v>
      </c>
      <c r="B117" s="21" t="s">
        <v>55</v>
      </c>
      <c r="C117" s="21">
        <v>40.0</v>
      </c>
      <c r="D117" s="21">
        <v>1.5110423058E10</v>
      </c>
      <c r="E117" s="21">
        <v>2.3000406E8</v>
      </c>
      <c r="F117" s="22" t="s">
        <v>143</v>
      </c>
      <c r="G117" s="23" t="str">
        <f t="shared" si="6"/>
        <v>OK</v>
      </c>
      <c r="H117" s="24">
        <f t="shared" si="7"/>
        <v>18</v>
      </c>
      <c r="I117" s="25">
        <f t="shared" si="8"/>
        <v>236</v>
      </c>
      <c r="J117" s="25">
        <f t="shared" si="9"/>
        <v>0</v>
      </c>
      <c r="K117" s="26"/>
      <c r="L117" s="33">
        <v>1.0</v>
      </c>
      <c r="M117" s="27">
        <v>1.0</v>
      </c>
      <c r="N117" s="27">
        <v>1.0</v>
      </c>
      <c r="O117" s="27">
        <v>1.0</v>
      </c>
      <c r="P117" s="27">
        <v>1.0</v>
      </c>
      <c r="Q117" s="33">
        <v>0.875</v>
      </c>
      <c r="R117" s="27">
        <v>1.0</v>
      </c>
      <c r="S117" s="27">
        <v>1.0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20" t="s">
        <v>103</v>
      </c>
      <c r="B118" s="21" t="s">
        <v>55</v>
      </c>
      <c r="C118" s="21">
        <v>41.0</v>
      </c>
      <c r="D118" s="21">
        <v>1.511042301E10</v>
      </c>
      <c r="E118" s="21">
        <v>2.30004061E8</v>
      </c>
      <c r="F118" s="22" t="s">
        <v>144</v>
      </c>
      <c r="G118" s="23" t="str">
        <f t="shared" si="6"/>
        <v>OK</v>
      </c>
      <c r="H118" s="24">
        <f t="shared" si="7"/>
        <v>17</v>
      </c>
      <c r="I118" s="25">
        <f t="shared" si="8"/>
        <v>233</v>
      </c>
      <c r="J118" s="25">
        <f t="shared" si="9"/>
        <v>0</v>
      </c>
      <c r="K118" s="26"/>
      <c r="L118" s="33">
        <v>1.0</v>
      </c>
      <c r="M118" s="27">
        <v>1.0</v>
      </c>
      <c r="N118" s="27">
        <v>0.875</v>
      </c>
      <c r="O118" s="27">
        <v>1.0</v>
      </c>
      <c r="P118" s="27">
        <v>1.0</v>
      </c>
      <c r="Q118" s="33">
        <v>0.875</v>
      </c>
      <c r="R118" s="27">
        <v>1.0</v>
      </c>
      <c r="S118" s="27">
        <v>1.0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20" t="s">
        <v>103</v>
      </c>
      <c r="B119" s="21" t="s">
        <v>55</v>
      </c>
      <c r="C119" s="21">
        <v>42.0</v>
      </c>
      <c r="D119" s="21">
        <v>1.5110423018E10</v>
      </c>
      <c r="E119" s="21">
        <v>2.30004062E8</v>
      </c>
      <c r="F119" s="22" t="s">
        <v>145</v>
      </c>
      <c r="G119" s="23" t="str">
        <f t="shared" si="6"/>
        <v>OK</v>
      </c>
      <c r="H119" s="24">
        <f t="shared" si="7"/>
        <v>17</v>
      </c>
      <c r="I119" s="25">
        <f t="shared" si="8"/>
        <v>232</v>
      </c>
      <c r="J119" s="25">
        <f t="shared" si="9"/>
        <v>0</v>
      </c>
      <c r="K119" s="26"/>
      <c r="L119" s="33">
        <v>1.0</v>
      </c>
      <c r="M119" s="27">
        <v>1.0</v>
      </c>
      <c r="N119" s="27">
        <v>1.0</v>
      </c>
      <c r="O119" s="27">
        <v>1.0</v>
      </c>
      <c r="P119" s="27">
        <v>0.875</v>
      </c>
      <c r="Q119" s="33">
        <v>1.0</v>
      </c>
      <c r="R119" s="27">
        <v>1.0</v>
      </c>
      <c r="S119" s="27">
        <v>0.8667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20" t="s">
        <v>103</v>
      </c>
      <c r="B120" s="21" t="s">
        <v>55</v>
      </c>
      <c r="C120" s="21">
        <v>43.0</v>
      </c>
      <c r="D120" s="21">
        <v>1.5110424056E10</v>
      </c>
      <c r="E120" s="21">
        <v>2.41004001E8</v>
      </c>
      <c r="F120" s="22" t="s">
        <v>146</v>
      </c>
      <c r="G120" s="23" t="str">
        <f t="shared" si="6"/>
        <v>Pending</v>
      </c>
      <c r="H120" s="24">
        <f t="shared" si="7"/>
        <v>-28</v>
      </c>
      <c r="I120" s="25">
        <f t="shared" si="8"/>
        <v>124</v>
      </c>
      <c r="J120" s="25">
        <f t="shared" si="9"/>
        <v>68</v>
      </c>
      <c r="K120" s="26"/>
      <c r="L120" s="33">
        <v>0.1333</v>
      </c>
      <c r="M120" s="27">
        <v>0.6154</v>
      </c>
      <c r="N120" s="27">
        <v>0.4118</v>
      </c>
      <c r="O120" s="27">
        <v>0.1</v>
      </c>
      <c r="P120" s="27">
        <v>0.6875</v>
      </c>
      <c r="Q120" s="33">
        <v>0.6875</v>
      </c>
      <c r="R120" s="27">
        <v>0.8235</v>
      </c>
      <c r="S120" s="27">
        <v>0.6667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20" t="s">
        <v>103</v>
      </c>
      <c r="B121" s="21" t="s">
        <v>55</v>
      </c>
      <c r="C121" s="21">
        <v>44.0</v>
      </c>
      <c r="D121" s="21">
        <v>1.5110424049E10</v>
      </c>
      <c r="E121" s="21">
        <v>2.41004002E8</v>
      </c>
      <c r="F121" s="22" t="s">
        <v>147</v>
      </c>
      <c r="G121" s="23" t="str">
        <f t="shared" si="6"/>
        <v>Pending</v>
      </c>
      <c r="H121" s="24">
        <f t="shared" si="7"/>
        <v>-32</v>
      </c>
      <c r="I121" s="25">
        <f t="shared" si="8"/>
        <v>114</v>
      </c>
      <c r="J121" s="25">
        <f t="shared" si="9"/>
        <v>78</v>
      </c>
      <c r="K121" s="26"/>
      <c r="L121" s="33">
        <v>0.3333</v>
      </c>
      <c r="M121" s="27">
        <v>0.6923</v>
      </c>
      <c r="N121" s="27">
        <v>0.5625</v>
      </c>
      <c r="O121" s="27">
        <v>0.4737</v>
      </c>
      <c r="P121" s="27">
        <v>0.25</v>
      </c>
      <c r="Q121" s="33">
        <v>0.625</v>
      </c>
      <c r="R121" s="27">
        <v>0.4706</v>
      </c>
      <c r="S121" s="27">
        <v>0.4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20" t="s">
        <v>103</v>
      </c>
      <c r="B122" s="21" t="s">
        <v>55</v>
      </c>
      <c r="C122" s="21">
        <v>45.0</v>
      </c>
      <c r="D122" s="21">
        <v>1.5110424055E10</v>
      </c>
      <c r="E122" s="21">
        <v>2.41004003E8</v>
      </c>
      <c r="F122" s="22" t="s">
        <v>148</v>
      </c>
      <c r="G122" s="23" t="str">
        <f t="shared" si="6"/>
        <v>OK</v>
      </c>
      <c r="H122" s="24">
        <f t="shared" si="7"/>
        <v>12</v>
      </c>
      <c r="I122" s="25">
        <f t="shared" si="8"/>
        <v>222</v>
      </c>
      <c r="J122" s="25">
        <f t="shared" si="9"/>
        <v>0</v>
      </c>
      <c r="K122" s="26"/>
      <c r="L122" s="33">
        <v>1.0</v>
      </c>
      <c r="M122" s="27">
        <v>1.0</v>
      </c>
      <c r="N122" s="27">
        <v>0.9375</v>
      </c>
      <c r="O122" s="27">
        <v>0.9474</v>
      </c>
      <c r="P122" s="27">
        <v>0.75</v>
      </c>
      <c r="Q122" s="33">
        <v>0.75</v>
      </c>
      <c r="R122" s="27">
        <v>1.0</v>
      </c>
      <c r="S122" s="27">
        <v>1.0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20" t="s">
        <v>103</v>
      </c>
      <c r="B123" s="21" t="s">
        <v>55</v>
      </c>
      <c r="C123" s="21">
        <v>46.0</v>
      </c>
      <c r="D123" s="21">
        <v>1.511042406E10</v>
      </c>
      <c r="E123" s="21">
        <v>2.41004004E8</v>
      </c>
      <c r="F123" s="22" t="s">
        <v>149</v>
      </c>
      <c r="G123" s="23" t="str">
        <f t="shared" si="6"/>
        <v>Pending</v>
      </c>
      <c r="H123" s="24">
        <f t="shared" si="7"/>
        <v>-22</v>
      </c>
      <c r="I123" s="25">
        <f t="shared" si="8"/>
        <v>139</v>
      </c>
      <c r="J123" s="25">
        <f t="shared" si="9"/>
        <v>53</v>
      </c>
      <c r="K123" s="26"/>
      <c r="L123" s="33">
        <v>0.4</v>
      </c>
      <c r="M123" s="27">
        <v>0.5</v>
      </c>
      <c r="N123" s="27">
        <v>0.75</v>
      </c>
      <c r="O123" s="27">
        <v>0.4211</v>
      </c>
      <c r="P123" s="27">
        <v>1.0</v>
      </c>
      <c r="Q123" s="33">
        <v>0.75</v>
      </c>
      <c r="R123" s="27">
        <v>0.4706</v>
      </c>
      <c r="S123" s="27">
        <v>0.3333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20" t="s">
        <v>103</v>
      </c>
      <c r="B124" s="21" t="s">
        <v>55</v>
      </c>
      <c r="C124" s="21">
        <v>47.0</v>
      </c>
      <c r="D124" s="21">
        <v>1.5110424077E10</v>
      </c>
      <c r="E124" s="21">
        <v>2.41004005E8</v>
      </c>
      <c r="F124" s="22" t="s">
        <v>150</v>
      </c>
      <c r="G124" s="23" t="str">
        <f t="shared" si="6"/>
        <v>OK</v>
      </c>
      <c r="H124" s="24">
        <f t="shared" si="7"/>
        <v>2</v>
      </c>
      <c r="I124" s="25">
        <f t="shared" si="8"/>
        <v>197</v>
      </c>
      <c r="J124" s="25">
        <f t="shared" si="9"/>
        <v>0</v>
      </c>
      <c r="K124" s="26"/>
      <c r="L124" s="33">
        <v>0.6875</v>
      </c>
      <c r="M124" s="27">
        <v>0.8462</v>
      </c>
      <c r="N124" s="27">
        <v>1.0</v>
      </c>
      <c r="O124" s="27">
        <v>0.8421</v>
      </c>
      <c r="P124" s="27">
        <v>0.9375</v>
      </c>
      <c r="Q124" s="33">
        <v>0.5625</v>
      </c>
      <c r="R124" s="27">
        <v>0.8824</v>
      </c>
      <c r="S124" s="27">
        <v>0.8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20" t="s">
        <v>103</v>
      </c>
      <c r="B125" s="21" t="s">
        <v>55</v>
      </c>
      <c r="C125" s="21">
        <v>48.0</v>
      </c>
      <c r="D125" s="21">
        <v>1.5110424092E10</v>
      </c>
      <c r="E125" s="21">
        <v>2.41004006E8</v>
      </c>
      <c r="F125" s="22" t="s">
        <v>151</v>
      </c>
      <c r="G125" s="23" t="str">
        <f t="shared" si="6"/>
        <v>Pending</v>
      </c>
      <c r="H125" s="24">
        <f t="shared" si="7"/>
        <v>-4</v>
      </c>
      <c r="I125" s="25">
        <f t="shared" si="8"/>
        <v>182</v>
      </c>
      <c r="J125" s="25">
        <f t="shared" si="9"/>
        <v>10</v>
      </c>
      <c r="K125" s="26"/>
      <c r="L125" s="33">
        <v>0.75</v>
      </c>
      <c r="M125" s="27">
        <v>0.6154</v>
      </c>
      <c r="N125" s="27">
        <v>0.875</v>
      </c>
      <c r="O125" s="27">
        <v>0.5789</v>
      </c>
      <c r="P125" s="27">
        <v>0.5625</v>
      </c>
      <c r="Q125" s="33">
        <v>0.875</v>
      </c>
      <c r="R125" s="27">
        <v>0.9412</v>
      </c>
      <c r="S125" s="27">
        <v>0.8667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20" t="s">
        <v>103</v>
      </c>
      <c r="B126" s="21" t="s">
        <v>55</v>
      </c>
      <c r="C126" s="21">
        <v>49.0</v>
      </c>
      <c r="D126" s="21">
        <v>1.511042401E10</v>
      </c>
      <c r="E126" s="21">
        <v>2.41004007E8</v>
      </c>
      <c r="F126" s="22" t="s">
        <v>152</v>
      </c>
      <c r="G126" s="23" t="str">
        <f t="shared" si="6"/>
        <v>OK</v>
      </c>
      <c r="H126" s="24">
        <f t="shared" si="7"/>
        <v>7</v>
      </c>
      <c r="I126" s="25">
        <f t="shared" si="8"/>
        <v>209</v>
      </c>
      <c r="J126" s="25">
        <f t="shared" si="9"/>
        <v>0</v>
      </c>
      <c r="K126" s="26"/>
      <c r="L126" s="33">
        <v>0.9375</v>
      </c>
      <c r="M126" s="27">
        <v>0.7692</v>
      </c>
      <c r="N126" s="27">
        <v>1.0</v>
      </c>
      <c r="O126" s="27">
        <v>0.8947</v>
      </c>
      <c r="P126" s="27">
        <v>0.75</v>
      </c>
      <c r="Q126" s="33">
        <v>0.875</v>
      </c>
      <c r="R126" s="27">
        <v>0.8824</v>
      </c>
      <c r="S126" s="27">
        <v>0.8667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20" t="s">
        <v>103</v>
      </c>
      <c r="B127" s="21" t="s">
        <v>55</v>
      </c>
      <c r="C127" s="21">
        <v>50.0</v>
      </c>
      <c r="D127" s="21">
        <v>1.5110424078E10</v>
      </c>
      <c r="E127" s="21">
        <v>2.41004008E8</v>
      </c>
      <c r="F127" s="22" t="s">
        <v>153</v>
      </c>
      <c r="G127" s="23" t="str">
        <f t="shared" si="6"/>
        <v>Pending</v>
      </c>
      <c r="H127" s="24">
        <f t="shared" si="7"/>
        <v>-19</v>
      </c>
      <c r="I127" s="25">
        <f t="shared" si="8"/>
        <v>147</v>
      </c>
      <c r="J127" s="25">
        <f t="shared" si="9"/>
        <v>45</v>
      </c>
      <c r="K127" s="26"/>
      <c r="L127" s="33">
        <v>0.8</v>
      </c>
      <c r="M127" s="27">
        <v>0.6154</v>
      </c>
      <c r="N127" s="27">
        <v>0.6875</v>
      </c>
      <c r="O127" s="27">
        <v>0.5263</v>
      </c>
      <c r="P127" s="27">
        <v>0.6875</v>
      </c>
      <c r="Q127" s="33">
        <v>0.375</v>
      </c>
      <c r="R127" s="27">
        <v>0.5294</v>
      </c>
      <c r="S127" s="27">
        <v>0.6667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20" t="s">
        <v>103</v>
      </c>
      <c r="B128" s="21" t="s">
        <v>55</v>
      </c>
      <c r="C128" s="21">
        <v>51.0</v>
      </c>
      <c r="D128" s="21">
        <v>1.5110424069E10</v>
      </c>
      <c r="E128" s="21">
        <v>2.41004009E8</v>
      </c>
      <c r="F128" s="22" t="s">
        <v>154</v>
      </c>
      <c r="G128" s="23" t="str">
        <f t="shared" si="6"/>
        <v>Pending</v>
      </c>
      <c r="H128" s="24">
        <f t="shared" si="7"/>
        <v>-9</v>
      </c>
      <c r="I128" s="25">
        <f t="shared" si="8"/>
        <v>171</v>
      </c>
      <c r="J128" s="25">
        <f t="shared" si="9"/>
        <v>21</v>
      </c>
      <c r="K128" s="26"/>
      <c r="L128" s="33">
        <v>0.8</v>
      </c>
      <c r="M128" s="27">
        <v>0.6923</v>
      </c>
      <c r="N128" s="27">
        <v>0.8125</v>
      </c>
      <c r="O128" s="27">
        <v>0.5789</v>
      </c>
      <c r="P128" s="27">
        <v>0.8125</v>
      </c>
      <c r="Q128" s="33">
        <v>0.6875</v>
      </c>
      <c r="R128" s="27">
        <v>0.5882</v>
      </c>
      <c r="S128" s="27">
        <v>0.7333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20" t="s">
        <v>103</v>
      </c>
      <c r="B129" s="21" t="s">
        <v>55</v>
      </c>
      <c r="C129" s="21">
        <v>52.0</v>
      </c>
      <c r="D129" s="21">
        <v>1.5110424075E10</v>
      </c>
      <c r="E129" s="21">
        <v>2.4100401E8</v>
      </c>
      <c r="F129" s="22" t="s">
        <v>155</v>
      </c>
      <c r="G129" s="23" t="str">
        <f t="shared" si="6"/>
        <v>Pending</v>
      </c>
      <c r="H129" s="24">
        <f t="shared" si="7"/>
        <v>-9</v>
      </c>
      <c r="I129" s="25">
        <f t="shared" si="8"/>
        <v>169</v>
      </c>
      <c r="J129" s="25">
        <f t="shared" si="9"/>
        <v>23</v>
      </c>
      <c r="K129" s="26"/>
      <c r="L129" s="33">
        <v>1.0</v>
      </c>
      <c r="M129" s="27">
        <v>1.0</v>
      </c>
      <c r="N129" s="27">
        <v>0.9375</v>
      </c>
      <c r="O129" s="27">
        <v>0.8421</v>
      </c>
      <c r="P129" s="27">
        <v>0.6875</v>
      </c>
      <c r="Q129" s="33">
        <v>0.6875</v>
      </c>
      <c r="R129" s="27">
        <v>0.3529</v>
      </c>
      <c r="S129" s="27">
        <v>0.1333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20" t="s">
        <v>103</v>
      </c>
      <c r="B130" s="21" t="s">
        <v>55</v>
      </c>
      <c r="C130" s="21">
        <v>53.0</v>
      </c>
      <c r="D130" s="21">
        <v>1.5110424091E10</v>
      </c>
      <c r="E130" s="21">
        <v>2.41004011E8</v>
      </c>
      <c r="F130" s="22" t="s">
        <v>156</v>
      </c>
      <c r="G130" s="23" t="str">
        <f t="shared" si="6"/>
        <v>Pending</v>
      </c>
      <c r="H130" s="24">
        <f t="shared" si="7"/>
        <v>-9</v>
      </c>
      <c r="I130" s="25">
        <f t="shared" si="8"/>
        <v>170</v>
      </c>
      <c r="J130" s="25">
        <f t="shared" si="9"/>
        <v>22</v>
      </c>
      <c r="K130" s="26"/>
      <c r="L130" s="33">
        <v>0.2667</v>
      </c>
      <c r="M130" s="27">
        <v>0.3077</v>
      </c>
      <c r="N130" s="27">
        <v>0.8125</v>
      </c>
      <c r="O130" s="27">
        <v>0.5263</v>
      </c>
      <c r="P130" s="27">
        <v>0.875</v>
      </c>
      <c r="Q130" s="33">
        <v>0.9375</v>
      </c>
      <c r="R130" s="27">
        <v>1.0</v>
      </c>
      <c r="S130" s="27">
        <v>0.9333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20" t="s">
        <v>103</v>
      </c>
      <c r="B131" s="21" t="s">
        <v>55</v>
      </c>
      <c r="C131" s="21">
        <v>54.0</v>
      </c>
      <c r="D131" s="21">
        <v>1.5110424064E10</v>
      </c>
      <c r="E131" s="21">
        <v>2.41004012E8</v>
      </c>
      <c r="F131" s="22" t="s">
        <v>157</v>
      </c>
      <c r="G131" s="23" t="str">
        <f t="shared" si="6"/>
        <v>OK</v>
      </c>
      <c r="H131" s="24">
        <f t="shared" si="7"/>
        <v>7</v>
      </c>
      <c r="I131" s="25">
        <f t="shared" si="8"/>
        <v>208</v>
      </c>
      <c r="J131" s="25">
        <f t="shared" si="9"/>
        <v>0</v>
      </c>
      <c r="K131" s="26"/>
      <c r="L131" s="33">
        <v>1.0</v>
      </c>
      <c r="M131" s="27">
        <v>0.8462</v>
      </c>
      <c r="N131" s="27">
        <v>0.9375</v>
      </c>
      <c r="O131" s="27">
        <v>0.8421</v>
      </c>
      <c r="P131" s="27">
        <v>1.0</v>
      </c>
      <c r="Q131" s="33">
        <v>0.8125</v>
      </c>
      <c r="R131" s="27">
        <v>0.8235</v>
      </c>
      <c r="S131" s="27">
        <v>0.6667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20" t="s">
        <v>103</v>
      </c>
      <c r="B132" s="21" t="s">
        <v>55</v>
      </c>
      <c r="C132" s="21">
        <v>55.0</v>
      </c>
      <c r="D132" s="21">
        <v>1.5110424063E10</v>
      </c>
      <c r="E132" s="21">
        <v>2.41004013E8</v>
      </c>
      <c r="F132" s="22" t="s">
        <v>158</v>
      </c>
      <c r="G132" s="23" t="str">
        <f t="shared" si="6"/>
        <v>OK</v>
      </c>
      <c r="H132" s="24">
        <f t="shared" si="7"/>
        <v>12</v>
      </c>
      <c r="I132" s="25">
        <f t="shared" si="8"/>
        <v>221</v>
      </c>
      <c r="J132" s="25">
        <f t="shared" si="9"/>
        <v>0</v>
      </c>
      <c r="K132" s="26"/>
      <c r="L132" s="33">
        <v>1.0</v>
      </c>
      <c r="M132" s="27">
        <v>0.8462</v>
      </c>
      <c r="N132" s="27">
        <v>1.0</v>
      </c>
      <c r="O132" s="27">
        <v>0.8421</v>
      </c>
      <c r="P132" s="27">
        <v>1.0</v>
      </c>
      <c r="Q132" s="33">
        <v>0.9375</v>
      </c>
      <c r="R132" s="27">
        <v>0.8235</v>
      </c>
      <c r="S132" s="27">
        <v>0.9333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20" t="s">
        <v>103</v>
      </c>
      <c r="B133" s="21" t="s">
        <v>55</v>
      </c>
      <c r="C133" s="21">
        <v>56.0</v>
      </c>
      <c r="D133" s="21">
        <v>1.5110424065E10</v>
      </c>
      <c r="E133" s="21">
        <v>2.41004014E8</v>
      </c>
      <c r="F133" s="22" t="s">
        <v>159</v>
      </c>
      <c r="G133" s="23" t="str">
        <f t="shared" si="6"/>
        <v>Pending</v>
      </c>
      <c r="H133" s="24">
        <f t="shared" si="7"/>
        <v>-8</v>
      </c>
      <c r="I133" s="25">
        <f t="shared" si="8"/>
        <v>173</v>
      </c>
      <c r="J133" s="25">
        <f t="shared" si="9"/>
        <v>19</v>
      </c>
      <c r="K133" s="26"/>
      <c r="L133" s="33">
        <v>0.6875</v>
      </c>
      <c r="M133" s="27">
        <v>0.3846</v>
      </c>
      <c r="N133" s="27">
        <v>0.75</v>
      </c>
      <c r="O133" s="27">
        <v>0.6316</v>
      </c>
      <c r="P133" s="27">
        <v>0.9375</v>
      </c>
      <c r="Q133" s="33">
        <v>0.75</v>
      </c>
      <c r="R133" s="27">
        <v>0.8235</v>
      </c>
      <c r="S133" s="27">
        <v>0.8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20" t="s">
        <v>103</v>
      </c>
      <c r="B134" s="21" t="s">
        <v>55</v>
      </c>
      <c r="C134" s="21">
        <v>57.0</v>
      </c>
      <c r="D134" s="21">
        <v>1.5110424053E10</v>
      </c>
      <c r="E134" s="21">
        <v>2.41004015E8</v>
      </c>
      <c r="F134" s="22" t="s">
        <v>160</v>
      </c>
      <c r="G134" s="23" t="str">
        <f t="shared" si="6"/>
        <v>OK</v>
      </c>
      <c r="H134" s="24">
        <f t="shared" si="7"/>
        <v>10</v>
      </c>
      <c r="I134" s="25">
        <f t="shared" si="8"/>
        <v>216</v>
      </c>
      <c r="J134" s="25">
        <f t="shared" si="9"/>
        <v>0</v>
      </c>
      <c r="K134" s="26"/>
      <c r="L134" s="33">
        <v>1.0</v>
      </c>
      <c r="M134" s="27">
        <v>0.9231</v>
      </c>
      <c r="N134" s="27">
        <v>0.9375</v>
      </c>
      <c r="O134" s="27">
        <v>0.8421</v>
      </c>
      <c r="P134" s="27">
        <v>0.875</v>
      </c>
      <c r="Q134" s="33">
        <v>0.9375</v>
      </c>
      <c r="R134" s="27">
        <v>0.9412</v>
      </c>
      <c r="S134" s="27">
        <v>0.7333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20" t="s">
        <v>103</v>
      </c>
      <c r="B135" s="21" t="s">
        <v>55</v>
      </c>
      <c r="C135" s="21">
        <v>58.0</v>
      </c>
      <c r="D135" s="21">
        <v>1.5110424089E10</v>
      </c>
      <c r="E135" s="21">
        <v>2.41004016E8</v>
      </c>
      <c r="F135" s="22" t="s">
        <v>161</v>
      </c>
      <c r="G135" s="23" t="str">
        <f t="shared" si="6"/>
        <v>Pending</v>
      </c>
      <c r="H135" s="24">
        <f t="shared" si="7"/>
        <v>-3</v>
      </c>
      <c r="I135" s="25">
        <f t="shared" si="8"/>
        <v>184</v>
      </c>
      <c r="J135" s="25">
        <f t="shared" si="9"/>
        <v>8</v>
      </c>
      <c r="K135" s="26"/>
      <c r="L135" s="33">
        <v>0.9375</v>
      </c>
      <c r="M135" s="27">
        <v>0.7692</v>
      </c>
      <c r="N135" s="27">
        <v>0.875</v>
      </c>
      <c r="O135" s="27">
        <v>0.6316</v>
      </c>
      <c r="P135" s="27">
        <v>1.0</v>
      </c>
      <c r="Q135" s="33">
        <v>0.6875</v>
      </c>
      <c r="R135" s="27">
        <v>0.6471</v>
      </c>
      <c r="S135" s="27">
        <v>0.6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20" t="s">
        <v>103</v>
      </c>
      <c r="B136" s="21" t="s">
        <v>55</v>
      </c>
      <c r="C136" s="21">
        <v>59.0</v>
      </c>
      <c r="D136" s="21">
        <v>1.5110424057E10</v>
      </c>
      <c r="E136" s="21">
        <v>2.41004017E8</v>
      </c>
      <c r="F136" s="22" t="s">
        <v>162</v>
      </c>
      <c r="G136" s="23" t="str">
        <f t="shared" si="6"/>
        <v>OK</v>
      </c>
      <c r="H136" s="24">
        <f t="shared" si="7"/>
        <v>12</v>
      </c>
      <c r="I136" s="25">
        <f t="shared" si="8"/>
        <v>220</v>
      </c>
      <c r="J136" s="25">
        <f t="shared" si="9"/>
        <v>0</v>
      </c>
      <c r="K136" s="26"/>
      <c r="L136" s="33">
        <v>1.0</v>
      </c>
      <c r="M136" s="27">
        <v>0.9231</v>
      </c>
      <c r="N136" s="27">
        <v>1.0</v>
      </c>
      <c r="O136" s="27">
        <v>0.8421</v>
      </c>
      <c r="P136" s="27">
        <v>1.0</v>
      </c>
      <c r="Q136" s="33">
        <v>0.8125</v>
      </c>
      <c r="R136" s="27">
        <v>0.8824</v>
      </c>
      <c r="S136" s="27">
        <v>0.8667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20" t="s">
        <v>103</v>
      </c>
      <c r="B137" s="21" t="s">
        <v>55</v>
      </c>
      <c r="C137" s="21">
        <v>60.0</v>
      </c>
      <c r="D137" s="21">
        <v>1.5110424052E10</v>
      </c>
      <c r="E137" s="21">
        <v>2.41004018E8</v>
      </c>
      <c r="F137" s="22" t="s">
        <v>163</v>
      </c>
      <c r="G137" s="23" t="str">
        <f t="shared" si="6"/>
        <v>Pending</v>
      </c>
      <c r="H137" s="24">
        <f t="shared" si="7"/>
        <v>-26</v>
      </c>
      <c r="I137" s="25">
        <f t="shared" si="8"/>
        <v>129</v>
      </c>
      <c r="J137" s="25">
        <f t="shared" si="9"/>
        <v>63</v>
      </c>
      <c r="K137" s="26"/>
      <c r="L137" s="33">
        <v>0.4</v>
      </c>
      <c r="M137" s="27">
        <v>0.6154</v>
      </c>
      <c r="N137" s="27">
        <v>0.6875</v>
      </c>
      <c r="O137" s="27">
        <v>0.4211</v>
      </c>
      <c r="P137" s="27">
        <v>0.6875</v>
      </c>
      <c r="Q137" s="33">
        <v>0.4375</v>
      </c>
      <c r="R137" s="27">
        <v>0.5294</v>
      </c>
      <c r="S137" s="27">
        <v>0.5333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20" t="s">
        <v>103</v>
      </c>
      <c r="B138" s="21" t="s">
        <v>55</v>
      </c>
      <c r="C138" s="21">
        <v>61.0</v>
      </c>
      <c r="D138" s="21">
        <v>1.5110424054E10</v>
      </c>
      <c r="E138" s="21">
        <v>2.41004019E8</v>
      </c>
      <c r="F138" s="22" t="s">
        <v>164</v>
      </c>
      <c r="G138" s="23" t="str">
        <f t="shared" si="6"/>
        <v>Pending</v>
      </c>
      <c r="H138" s="24">
        <f t="shared" si="7"/>
        <v>-18</v>
      </c>
      <c r="I138" s="25">
        <f t="shared" si="8"/>
        <v>148</v>
      </c>
      <c r="J138" s="25">
        <f t="shared" si="9"/>
        <v>44</v>
      </c>
      <c r="K138" s="26"/>
      <c r="L138" s="33">
        <v>0.8</v>
      </c>
      <c r="M138" s="27">
        <v>0.5385</v>
      </c>
      <c r="N138" s="27">
        <v>0.75</v>
      </c>
      <c r="O138" s="27">
        <v>0.5263</v>
      </c>
      <c r="P138" s="27">
        <v>0.6875</v>
      </c>
      <c r="Q138" s="33">
        <v>0.4375</v>
      </c>
      <c r="R138" s="27">
        <v>0.5294</v>
      </c>
      <c r="S138" s="27">
        <v>0.6667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>
        <f>COUNTA(F78:F138)</f>
        <v>61</v>
      </c>
      <c r="G139" s="23" t="str">
        <f t="shared" si="6"/>
        <v>Pending</v>
      </c>
      <c r="H139" s="24">
        <f t="shared" si="7"/>
        <v>-6</v>
      </c>
      <c r="I139" s="25">
        <f t="shared" si="8"/>
        <v>178</v>
      </c>
      <c r="J139" s="25">
        <f t="shared" si="9"/>
        <v>14</v>
      </c>
      <c r="K139" s="26"/>
      <c r="L139" s="35">
        <f t="shared" ref="L139:Z139" si="10">SUM(L78:L138)/$F$139</f>
        <v>0.6494508197</v>
      </c>
      <c r="M139" s="35">
        <f t="shared" si="10"/>
        <v>0.7092459016</v>
      </c>
      <c r="N139" s="35">
        <f t="shared" si="10"/>
        <v>0.7631983607</v>
      </c>
      <c r="O139" s="35">
        <f t="shared" si="10"/>
        <v>0.6997819672</v>
      </c>
      <c r="P139" s="35">
        <f t="shared" si="10"/>
        <v>0.8012295082</v>
      </c>
      <c r="Q139" s="35">
        <f t="shared" si="10"/>
        <v>0.7592213115</v>
      </c>
      <c r="R139" s="35">
        <f t="shared" si="10"/>
        <v>0.8341442623</v>
      </c>
      <c r="S139" s="35">
        <f t="shared" si="10"/>
        <v>0.7200131148</v>
      </c>
      <c r="T139" s="35">
        <f t="shared" si="10"/>
        <v>0</v>
      </c>
      <c r="U139" s="35">
        <f t="shared" si="10"/>
        <v>0</v>
      </c>
      <c r="V139" s="35">
        <f t="shared" si="10"/>
        <v>0</v>
      </c>
      <c r="W139" s="35">
        <f t="shared" si="10"/>
        <v>0</v>
      </c>
      <c r="X139" s="35">
        <f t="shared" si="10"/>
        <v>0</v>
      </c>
      <c r="Y139" s="35">
        <f t="shared" si="10"/>
        <v>0</v>
      </c>
      <c r="Z139" s="35">
        <f t="shared" si="10"/>
        <v>0</v>
      </c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O1"/>
    <mergeCell ref="A2:O2"/>
    <mergeCell ref="A3:O3"/>
    <mergeCell ref="A4:O4"/>
    <mergeCell ref="A76:F76"/>
  </mergeCells>
  <conditionalFormatting sqref="F7:F139">
    <cfRule type="expression" dxfId="0" priority="1">
      <formula>AND(H7&lt;0,K7&lt;J7)</formula>
    </cfRule>
  </conditionalFormatting>
  <conditionalFormatting sqref="F7:F139">
    <cfRule type="expression" dxfId="1" priority="2">
      <formula>AND(H7&lt;0,K7&gt;=J7)</formula>
    </cfRule>
  </conditionalFormatting>
  <conditionalFormatting sqref="F7:F139">
    <cfRule type="expression" dxfId="2" priority="3">
      <formula>H7&gt;=0</formula>
    </cfRule>
  </conditionalFormatting>
  <conditionalFormatting sqref="L7:Z76 L78:Z139">
    <cfRule type="cellIs" dxfId="1" priority="4" operator="greaterThanOrEqual">
      <formula>"80.01%"</formula>
    </cfRule>
  </conditionalFormatting>
  <conditionalFormatting sqref="L7:Z76 L78:Z139">
    <cfRule type="cellIs" dxfId="0" priority="5" operator="lessThanOrEqual">
      <formula>"79.99%"</formula>
    </cfRule>
  </conditionalFormatting>
  <conditionalFormatting sqref="L7:Z76 L78:Z139">
    <cfRule type="cellIs" dxfId="3" priority="6" operator="equal">
      <formula>"80%"</formula>
    </cfRule>
  </conditionalFormatting>
  <conditionalFormatting sqref="K7:K76 K78:K139">
    <cfRule type="expression" dxfId="1" priority="7">
      <formula>J7=0</formula>
    </cfRule>
  </conditionalFormatting>
  <conditionalFormatting sqref="K7:K76 K78:K139">
    <cfRule type="expression" dxfId="0" priority="8">
      <formula>and(J7&gt;0,J7&gt;K7)</formula>
    </cfRule>
  </conditionalFormatting>
  <conditionalFormatting sqref="K7:K76 K78:K139">
    <cfRule type="expression" dxfId="2" priority="9">
      <formula>or(J7=K7)</formula>
    </cfRule>
  </conditionalFormatting>
  <conditionalFormatting sqref="J7:J76 J78:J139">
    <cfRule type="cellIs" dxfId="0" priority="10" operator="greaterThan">
      <formula>0</formula>
    </cfRule>
  </conditionalFormatting>
  <conditionalFormatting sqref="J7:J76 J78:J139">
    <cfRule type="cellIs" dxfId="1" priority="11" operator="equal">
      <formula>0</formula>
    </cfRule>
  </conditionalFormatting>
  <conditionalFormatting sqref="I7:I76 I78:I139">
    <cfRule type="expression" dxfId="1" priority="12">
      <formula>J7=0</formula>
    </cfRule>
  </conditionalFormatting>
  <conditionalFormatting sqref="I7:I76 I78:I139">
    <cfRule type="expression" dxfId="0" priority="13">
      <formula>J7&gt;0</formula>
    </cfRule>
  </conditionalFormatting>
  <conditionalFormatting sqref="H7:H76 H78:H139">
    <cfRule type="cellIs" dxfId="4" priority="14" operator="lessThanOrEqual">
      <formula>-0.01</formula>
    </cfRule>
  </conditionalFormatting>
  <conditionalFormatting sqref="H7:H76 H78:H139">
    <cfRule type="cellIs" dxfId="5" priority="15" operator="equal">
      <formula>0</formula>
    </cfRule>
  </conditionalFormatting>
  <conditionalFormatting sqref="G7:G76 G78:G139">
    <cfRule type="expression" dxfId="1" priority="16">
      <formula>AND(H7&lt;0,K7&gt;=J7)</formula>
    </cfRule>
  </conditionalFormatting>
  <conditionalFormatting sqref="G7:G76 G78:G139">
    <cfRule type="expression" dxfId="6" priority="17">
      <formula>AND(H7&lt;0,K7&lt;J7)</formula>
    </cfRule>
  </conditionalFormatting>
  <conditionalFormatting sqref="G7:G76 G78:G139">
    <cfRule type="expression" dxfId="5" priority="18">
      <formula>H7&gt;=0</formula>
    </cfRule>
  </conditionalFormatting>
  <printOptions/>
  <pageMargins bottom="0.75" footer="0.0" header="0.0" left="0.7" right="0.7" top="0.75"/>
  <pageSetup paperSize="9" orientation="portrait"/>
  <drawing r:id="rId1"/>
</worksheet>
</file>