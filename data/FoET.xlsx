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<sst xmlns="http://schemas.openxmlformats.org/spreadsheetml/2006/main" count="65" uniqueCount="61">
  <si>
    <t>Department</t>
  </si>
  <si>
    <t xml:space="preserve">Program </t>
  </si>
  <si>
    <t>Sem.</t>
  </si>
  <si>
    <t>Link</t>
  </si>
  <si>
    <t>Total Count</t>
  </si>
  <si>
    <t>Status</t>
  </si>
  <si>
    <t>Points Earns</t>
  </si>
  <si>
    <t xml:space="preserve">Total Hours Conducted </t>
  </si>
  <si>
    <t>Compensation Required in Hours</t>
  </si>
  <si>
    <t>Compensation Completed in Hours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</si>
  <si>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</si>
  <si>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</si>
  <si>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</si>
  <si>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</si>
  <si>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</si>
  <si>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</si>
  <si>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</si>
  <si>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</si>
  <si>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</si>
  <si>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</si>
  <si>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</si>
  <si>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</si>
  <si>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</si>
  <si>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</si>
  <si>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</si>
  <si>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Computer</t>
  </si>
  <si>
    <t>CE-3</t>
  </si>
  <si>
    <t>Timestamp</t>
  </si>
  <si>
    <t>Untitled Question</t>
  </si>
  <si>
    <t>CE-5</t>
  </si>
  <si>
    <t>CE-7</t>
  </si>
  <si>
    <t>CSE (AI/ML)</t>
  </si>
  <si>
    <t>Al/ML-3</t>
  </si>
  <si>
    <t>CSE</t>
  </si>
  <si>
    <t>CSE-3</t>
  </si>
  <si>
    <t>CSE-5</t>
  </si>
  <si>
    <t>CSE-7</t>
  </si>
  <si>
    <t>Civil</t>
  </si>
  <si>
    <t>Civil-3</t>
  </si>
  <si>
    <t>Civil-5</t>
  </si>
  <si>
    <t>Civil-7</t>
  </si>
  <si>
    <t>Electrcial</t>
  </si>
  <si>
    <t>Elect-3</t>
  </si>
  <si>
    <t>Elect-5</t>
  </si>
  <si>
    <t>Elect-7</t>
  </si>
  <si>
    <t>Mechanical</t>
  </si>
  <si>
    <t>Mecahnical</t>
  </si>
  <si>
    <t>Mech-3</t>
  </si>
  <si>
    <t>Mech-5</t>
  </si>
  <si>
    <t>Mech-7</t>
  </si>
  <si>
    <t>IT</t>
  </si>
  <si>
    <t>IT-5</t>
  </si>
  <si>
    <t>IT-7</t>
  </si>
  <si>
    <t>Dark Red</t>
  </si>
  <si>
    <t>&lt;40%</t>
  </si>
  <si>
    <t>Red</t>
  </si>
  <si>
    <t>40% to 60%</t>
  </si>
  <si>
    <t>Light Yellow</t>
  </si>
  <si>
    <t>60% to 80%</t>
  </si>
  <si>
    <t>Green</t>
  </si>
  <si>
    <t>&gt;80%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</si>
</sst>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u/>
      <color rgb="FF0000FF"/>
    </font>
    <font/>
  </fonts>
  <fills count="3">
    <fill>
      <patternFill patternType="none"/>
    </fill>
    <fill>
      <patternFill patternType="lightGray"/>
    </fill>
    <fill>
      <patternFill patternType="solid">
        <fgColor rgb="FFE9E9E9"/>
        <bgColor rgb="FFE9E9E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textRotation="90" vertical="center" wrapText="1"/>
    </xf>
    <xf borderId="1" fillId="0" fontId="3" numFmtId="0" xfId="0" applyAlignment="1" applyBorder="1" applyFont="1">
      <alignment horizontal="center" readingOrder="0" shrinkToFit="0" textRotation="90" vertical="center" wrapText="1"/>
    </xf>
    <xf borderId="1" fillId="2" fontId="3" numFmtId="0" xfId="0" applyAlignment="1" applyBorder="1" applyFill="1" applyFont="1">
      <alignment horizontal="center" vertical="center"/>
    </xf>
    <xf borderId="0" fillId="2" fontId="3" numFmtId="0" xfId="0" applyAlignment="1" applyFill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10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3" fillId="0" fontId="5" numFmtId="0" xfId="0" applyBorder="1" applyFont="1"/>
    <xf borderId="4" fillId="0" fontId="5" numFmtId="0" xfId="0" applyBorder="1" applyFont="1"/>
    <xf borderId="1" fillId="0" fontId="1" numFmtId="4" xfId="0" applyAlignment="1" applyBorder="1" applyFont="1" applyNumberForma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color theme="0"/>
      </font>
      <fill>
        <patternFill patternType="solid">
          <fgColor rgb="FF274E13"/>
          <bgColor rgb="FF274E13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>
        <color rgb="FF000000"/>
      </font>
      <fill>
        <patternFill patternType="solid">
          <fgColor rgb="FFFFF2CC"/>
          <bgColor rgb="FFFFF2CC"/>
        </patternFill>
      </fill>
      <border/>
    </dxf>
    <dxf>
      <font>
        <color rgb="FFFFFFFF"/>
      </font>
      <fill>
        <patternFill patternType="solid">
          <fgColor rgb="FF990000"/>
          <bgColor rgb="FF990000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1" displayName="Form_Responses" name="Form_Responses" id="1">
  <tableColumns count="2">
    <tableColumn name="Column1" id="1"/>
    <tableColumn name="Column2" id="2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xNlVZ7fUr_eJjkh8vEu-4zRm83dUcSl3844ZMZdQ4eA/edit?usp=sharing" TargetMode="External"/><Relationship Id="rId10" Type="http://schemas.openxmlformats.org/officeDocument/2006/relationships/hyperlink" Target="https://docs.google.com/spreadsheets/d/1HcyWbfdI-yI_nxLFHXLFqqXlq3xep4u4WcCv63kRT1c/edit?usp=sharing" TargetMode="External"/><Relationship Id="rId13" Type="http://schemas.openxmlformats.org/officeDocument/2006/relationships/hyperlink" Target="https://docs.google.com/spreadsheets/d/1xNlVZ7fUr_eJjkh8vEu-4zRm83dUcSl3844ZMZdQ4eA/edit?usp=sharing" TargetMode="External"/><Relationship Id="rId12" Type="http://schemas.openxmlformats.org/officeDocument/2006/relationships/hyperlink" Target="https://docs.google.com/spreadsheets/d/1xNlVZ7fUr_eJjkh8vEu-4zRm83dUcSl3844ZMZdQ4eA/edit?usp=sharing" TargetMode="External"/><Relationship Id="rId1" Type="http://schemas.openxmlformats.org/officeDocument/2006/relationships/hyperlink" Target="https://docs.google.com/spreadsheets/d/1qODsTtiBbYyChGFWkGh8zoUIK3HxfkVoZGCAI3HTqyc/edit?usp=sharing" TargetMode="External"/><Relationship Id="rId2" Type="http://schemas.openxmlformats.org/officeDocument/2006/relationships/hyperlink" Target="https://docs.google.com/spreadsheets/d/1qODsTtiBbYyChGFWkGh8zoUIK3HxfkVoZGCAI3HTqyc/edit?usp=sharing" TargetMode="External"/><Relationship Id="rId3" Type="http://schemas.openxmlformats.org/officeDocument/2006/relationships/hyperlink" Target="https://docs.google.com/spreadsheets/d/1qODsTtiBbYyChGFWkGh8zoUIK3HxfkVoZGCAI3HTqyc/edit?usp=sharing" TargetMode="External"/><Relationship Id="rId4" Type="http://schemas.openxmlformats.org/officeDocument/2006/relationships/hyperlink" Target="https://docs.google.com/spreadsheets/d/1qODsTtiBbYyChGFWkGh8zoUIK3HxfkVoZGCAI3HTqyc/edit?usp=sharing" TargetMode="External"/><Relationship Id="rId9" Type="http://schemas.openxmlformats.org/officeDocument/2006/relationships/hyperlink" Target="https://docs.google.com/spreadsheets/d/1HcyWbfdI-yI_nxLFHXLFqqXlq3xep4u4WcCv63kRT1c/edit?usp=sharing" TargetMode="External"/><Relationship Id="rId15" Type="http://schemas.openxmlformats.org/officeDocument/2006/relationships/hyperlink" Target="https://docs.google.com/spreadsheets/d/1cao1o_a29xkiCSTaezD5vXsiM11cvngfLDswMF4Oy6k/edit?usp=sharing" TargetMode="External"/><Relationship Id="rId14" Type="http://schemas.openxmlformats.org/officeDocument/2006/relationships/hyperlink" Target="https://docs.google.com/spreadsheets/d/1cao1o_a29xkiCSTaezD5vXsiM11cvngfLDswMF4Oy6k/edit?usp=sharing" TargetMode="External"/><Relationship Id="rId17" Type="http://schemas.openxmlformats.org/officeDocument/2006/relationships/hyperlink" Target="https://docs.google.com/spreadsheets/d/1TBhlfH3G1aulP7f8A71cMBbE4AAMtnB9sJF9t_aBchU/edit?usp=sharing" TargetMode="External"/><Relationship Id="rId16" Type="http://schemas.openxmlformats.org/officeDocument/2006/relationships/hyperlink" Target="https://docs.google.com/spreadsheets/d/1cao1o_a29xkiCSTaezD5vXsiM11cvngfLDswMF4Oy6k/edit?usp=sharing" TargetMode="External"/><Relationship Id="rId5" Type="http://schemas.openxmlformats.org/officeDocument/2006/relationships/hyperlink" Target="https://docs.google.com/spreadsheets/d/1qODsTtiBbYyChGFWkGh8zoUIK3HxfkVoZGCAI3HTqyc/edit?usp=sharing" TargetMode="External"/><Relationship Id="rId19" Type="http://schemas.openxmlformats.org/officeDocument/2006/relationships/drawing" Target="../drawings/drawing2.xml"/><Relationship Id="rId6" Type="http://schemas.openxmlformats.org/officeDocument/2006/relationships/hyperlink" Target="https://docs.google.com/spreadsheets/d/1qODsTtiBbYyChGFWkGh8zoUIK3HxfkVoZGCAI3HTqyc/edit?usp=sharing" TargetMode="External"/><Relationship Id="rId18" Type="http://schemas.openxmlformats.org/officeDocument/2006/relationships/hyperlink" Target="https://docs.google.com/spreadsheets/d/1TBhlfH3G1aulP7f8A71cMBbE4AAMtnB9sJF9t_aBchU/edit?usp=sharing" TargetMode="External"/><Relationship Id="rId7" Type="http://schemas.openxmlformats.org/officeDocument/2006/relationships/hyperlink" Target="https://docs.google.com/spreadsheets/d/1qODsTtiBbYyChGFWkGh8zoUIK3HxfkVoZGCAI3HTqyc/edit?usp=sharing" TargetMode="External"/><Relationship Id="rId8" Type="http://schemas.openxmlformats.org/officeDocument/2006/relationships/hyperlink" Target="https://docs.google.com/spreadsheets/d/1HcyWbfdI-yI_nxLFHXLFqqXlq3xep4u4WcCv63kRT1c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 ht="22.5" customHeight="1">
      <c r="A1" s="14" t="s">
        <v>27</v>
      </c>
      <c r="B1" s="15" t="s">
        <v>28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.63"/>
    <col customWidth="1" min="8" max="8" width="6.13"/>
    <col customWidth="1" min="9" max="11" width="6.5"/>
    <col customWidth="1" min="12" max="56" width="7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ht="96.0" customHeight="1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4" t="s">
        <v>5</v>
      </c>
      <c r="H3" s="5" t="s">
        <v>6</v>
      </c>
      <c r="I3" s="6" t="s">
        <v>7</v>
      </c>
      <c r="J3" s="5" t="s">
        <v>8</v>
      </c>
      <c r="K3" s="5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7" t="s">
        <v>14</v>
      </c>
      <c r="Q3" s="7" t="s">
        <v>15</v>
      </c>
      <c r="R3" s="7" t="s">
        <v>16</v>
      </c>
      <c r="S3" s="7" t="s">
        <v>17</v>
      </c>
      <c r="T3" s="7" t="s">
        <v>18</v>
      </c>
      <c r="U3" s="7" t="s">
        <v>19</v>
      </c>
      <c r="V3" s="7" t="s">
        <v>20</v>
      </c>
      <c r="W3" s="7" t="s">
        <v>21</v>
      </c>
      <c r="X3" s="7" t="s">
        <v>22</v>
      </c>
      <c r="Y3" s="7" t="s">
        <v>23</v>
      </c>
      <c r="Z3" s="7" t="s">
        <v>24</v>
      </c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</row>
    <row r="4" ht="24.0" customHeight="1">
      <c r="A4" s="1"/>
      <c r="B4" s="9" t="s">
        <v>25</v>
      </c>
      <c r="C4" s="9" t="s">
        <v>25</v>
      </c>
      <c r="D4" s="10">
        <v>3.0</v>
      </c>
      <c r="E4" s="11" t="s">
        <v>26</v>
      </c>
      <c r="F4" s="12">
        <f>IFERROR(__xludf.DUMMYFUNCTION("importrange(""https://docs.google.com/spreadsheets/d/1qODsTtiBbYyChGFWkGh8zoUIK3HxfkVoZGCAI3HTqyc/edit?usp=sharing"",""CE!F172:Z172"")"),164.0)</f>
        <v>164</v>
      </c>
      <c r="G4" s="12" t="str">
        <f>IFERROR(__xludf.DUMMYFUNCTION("""COMPUTED_VALUE"""),"Pending")</f>
        <v>Pending</v>
      </c>
      <c r="H4" s="12">
        <f>IFERROR(__xludf.DUMMYFUNCTION("""COMPUTED_VALUE"""),-8.0)</f>
        <v>-8</v>
      </c>
      <c r="I4" s="12">
        <f>IFERROR(__xludf.DUMMYFUNCTION("""COMPUTED_VALUE"""),257.0)</f>
        <v>257</v>
      </c>
      <c r="J4" s="12">
        <f>IFERROR(__xludf.DUMMYFUNCTION("""COMPUTED_VALUE"""),55.0)</f>
        <v>55</v>
      </c>
      <c r="K4" s="12"/>
      <c r="L4" s="13">
        <f>IFERROR(__xludf.DUMMYFUNCTION("""COMPUTED_VALUE"""),0.3673060975609757)</f>
        <v>0.3673060976</v>
      </c>
      <c r="M4" s="13">
        <f>IFERROR(__xludf.DUMMYFUNCTION("""COMPUTED_VALUE"""),0.41033414634146337)</f>
        <v>0.4103341463</v>
      </c>
      <c r="N4" s="13">
        <f>IFERROR(__xludf.DUMMYFUNCTION("""COMPUTED_VALUE"""),0.43244207317073163)</f>
        <v>0.4324420732</v>
      </c>
      <c r="O4" s="13">
        <f>IFERROR(__xludf.DUMMYFUNCTION("""COMPUTED_VALUE"""),0.45371524390243895)</f>
        <v>0.4537152439</v>
      </c>
      <c r="P4" s="13">
        <f>IFERROR(__xludf.DUMMYFUNCTION("""COMPUTED_VALUE"""),0.5917365853658536)</f>
        <v>0.5917365854</v>
      </c>
      <c r="Q4" s="13">
        <f>IFERROR(__xludf.DUMMYFUNCTION("""COMPUTED_VALUE"""),0.7149146341463414)</f>
        <v>0.7149146341</v>
      </c>
      <c r="R4" s="13">
        <f>IFERROR(__xludf.DUMMYFUNCTION("""COMPUTED_VALUE"""),0.8138670731707314)</f>
        <v>0.8138670732</v>
      </c>
      <c r="S4" s="13">
        <f>IFERROR(__xludf.DUMMYFUNCTION("""COMPUTED_VALUE"""),0.7938445121951215)</f>
        <v>0.7938445122</v>
      </c>
      <c r="T4" s="13">
        <f>IFERROR(__xludf.DUMMYFUNCTION("""COMPUTED_VALUE"""),0.8394304878048776)</f>
        <v>0.8394304878</v>
      </c>
      <c r="U4" s="13">
        <f>IFERROR(__xludf.DUMMYFUNCTION("""COMPUTED_VALUE"""),0.8179463414634142)</f>
        <v>0.8179463415</v>
      </c>
      <c r="V4" s="13">
        <f>IFERROR(__xludf.DUMMYFUNCTION("""COMPUTED_VALUE"""),0.7198481707317079)</f>
        <v>0.7198481707</v>
      </c>
      <c r="W4" s="13">
        <f>IFERROR(__xludf.DUMMYFUNCTION("""COMPUTED_VALUE"""),0.7778993902439023)</f>
        <v>0.7778993902</v>
      </c>
      <c r="X4" s="13">
        <f>IFERROR(__xludf.DUMMYFUNCTION("""COMPUTED_VALUE"""),0.817037195121951)</f>
        <v>0.8170371951</v>
      </c>
      <c r="Y4" s="13">
        <f>IFERROR(__xludf.DUMMYFUNCTION("""COMPUTED_VALUE"""),0.0)</f>
        <v>0</v>
      </c>
      <c r="Z4" s="13">
        <f>IFERROR(__xludf.DUMMYFUNCTION("""COMPUTED_VALUE"""),0.0)</f>
        <v>0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ht="24.0" customHeight="1">
      <c r="A5" s="1"/>
      <c r="B5" s="16"/>
      <c r="C5" s="16"/>
      <c r="D5" s="10">
        <v>5.0</v>
      </c>
      <c r="E5" s="11" t="s">
        <v>29</v>
      </c>
      <c r="F5" s="12">
        <f>IFERROR(__xludf.DUMMYFUNCTION("importrange(""https://docs.google.com/spreadsheets/d/1qODsTtiBbYyChGFWkGh8zoUIK3HxfkVoZGCAI3HTqyc/edit?usp=sharing"",""CE!F326:Z326"")"),150.0)</f>
        <v>150</v>
      </c>
      <c r="G5" s="12" t="str">
        <f>IFERROR(__xludf.DUMMYFUNCTION("""COMPUTED_VALUE"""),"OK")</f>
        <v>OK</v>
      </c>
      <c r="H5" s="12">
        <f>IFERROR(__xludf.DUMMYFUNCTION("""COMPUTED_VALUE"""),1.0)</f>
        <v>1</v>
      </c>
      <c r="I5" s="12">
        <f>IFERROR(__xludf.DUMMYFUNCTION("""COMPUTED_VALUE"""),293.0)</f>
        <v>293</v>
      </c>
      <c r="J5" s="12">
        <f>IFERROR(__xludf.DUMMYFUNCTION("""COMPUTED_VALUE"""),19.0)</f>
        <v>19</v>
      </c>
      <c r="K5" s="12"/>
      <c r="L5" s="13">
        <f>IFERROR(__xludf.DUMMYFUNCTION("""COMPUTED_VALUE"""),0.6160206666666661)</f>
        <v>0.6160206667</v>
      </c>
      <c r="M5" s="13">
        <f>IFERROR(__xludf.DUMMYFUNCTION("""COMPUTED_VALUE"""),0.7259520000000004)</f>
        <v>0.725952</v>
      </c>
      <c r="N5" s="13">
        <f>IFERROR(__xludf.DUMMYFUNCTION("""COMPUTED_VALUE"""),0.8360139999999999)</f>
        <v>0.836014</v>
      </c>
      <c r="O5" s="13">
        <f>IFERROR(__xludf.DUMMYFUNCTION("""COMPUTED_VALUE"""),0.8263266666666669)</f>
        <v>0.8263266667</v>
      </c>
      <c r="P5" s="13">
        <f>IFERROR(__xludf.DUMMYFUNCTION("""COMPUTED_VALUE"""),0.8171973333333328)</f>
        <v>0.8171973333</v>
      </c>
      <c r="Q5" s="13">
        <f>IFERROR(__xludf.DUMMYFUNCTION("""COMPUTED_VALUE"""),0.7955806666666664)</f>
        <v>0.7955806667</v>
      </c>
      <c r="R5" s="13">
        <f>IFERROR(__xludf.DUMMYFUNCTION("""COMPUTED_VALUE"""),0.8124159999999997)</f>
        <v>0.812416</v>
      </c>
      <c r="S5" s="13">
        <f>IFERROR(__xludf.DUMMYFUNCTION("""COMPUTED_VALUE"""),0.7672553333333335)</f>
        <v>0.7672553333</v>
      </c>
      <c r="T5" s="13">
        <f>IFERROR(__xludf.DUMMYFUNCTION("""COMPUTED_VALUE"""),0.7855173333333332)</f>
        <v>0.7855173333</v>
      </c>
      <c r="U5" s="13">
        <f>IFERROR(__xludf.DUMMYFUNCTION("""COMPUTED_VALUE"""),0.793684)</f>
        <v>0.793684</v>
      </c>
      <c r="V5" s="13">
        <f>IFERROR(__xludf.DUMMYFUNCTION("""COMPUTED_VALUE"""),0.6186373333333332)</f>
        <v>0.6186373333</v>
      </c>
      <c r="W5" s="13">
        <f>IFERROR(__xludf.DUMMYFUNCTION("""COMPUTED_VALUE"""),0.720263333333333)</f>
        <v>0.7202633333</v>
      </c>
      <c r="X5" s="13">
        <f>IFERROR(__xludf.DUMMYFUNCTION("""COMPUTED_VALUE"""),0.6542646666666667)</f>
        <v>0.6542646667</v>
      </c>
      <c r="Y5" s="13">
        <f>IFERROR(__xludf.DUMMYFUNCTION("""COMPUTED_VALUE"""),0.0)</f>
        <v>0</v>
      </c>
      <c r="Z5" s="13">
        <f>IFERROR(__xludf.DUMMYFUNCTION("""COMPUTED_VALUE"""),0.0)</f>
        <v>0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ht="24.0" customHeight="1">
      <c r="A6" s="1"/>
      <c r="B6" s="16"/>
      <c r="C6" s="17"/>
      <c r="D6" s="10">
        <v>7.0</v>
      </c>
      <c r="E6" s="11" t="s">
        <v>30</v>
      </c>
      <c r="F6" s="12">
        <f>IFERROR(__xludf.DUMMYFUNCTION("importrange(""https://docs.google.com/spreadsheets/d/1qODsTtiBbYyChGFWkGh8zoUIK3HxfkVoZGCAI3HTqyc/edit?usp=sharing"",""CE!F465:Z465"")"),135.0)</f>
        <v>135</v>
      </c>
      <c r="G6" s="12" t="str">
        <f>IFERROR(__xludf.DUMMYFUNCTION("""COMPUTED_VALUE"""),"Pending")</f>
        <v>Pending</v>
      </c>
      <c r="H6" s="12">
        <f>IFERROR(__xludf.DUMMYFUNCTION("""COMPUTED_VALUE"""),-1.0)</f>
        <v>-1</v>
      </c>
      <c r="I6" s="12">
        <f>IFERROR(__xludf.DUMMYFUNCTION("""COMPUTED_VALUE"""),290.0)</f>
        <v>290</v>
      </c>
      <c r="J6" s="12">
        <f>IFERROR(__xludf.DUMMYFUNCTION("""COMPUTED_VALUE"""),22.0)</f>
        <v>22</v>
      </c>
      <c r="K6" s="12"/>
      <c r="L6" s="13">
        <f>IFERROR(__xludf.DUMMYFUNCTION("""COMPUTED_VALUE"""),0.6592592592592591)</f>
        <v>0.6592592593</v>
      </c>
      <c r="M6" s="13">
        <f>IFERROR(__xludf.DUMMYFUNCTION("""COMPUTED_VALUE"""),0.8382711111111116)</f>
        <v>0.8382711111</v>
      </c>
      <c r="N6" s="13">
        <f>IFERROR(__xludf.DUMMYFUNCTION("""COMPUTED_VALUE"""),0.8053488888888894)</f>
        <v>0.8053488889</v>
      </c>
      <c r="O6" s="13">
        <f>IFERROR(__xludf.DUMMYFUNCTION("""COMPUTED_VALUE"""),0.819748888888889)</f>
        <v>0.8197488889</v>
      </c>
      <c r="P6" s="13">
        <f>IFERROR(__xludf.DUMMYFUNCTION("""COMPUTED_VALUE"""),0.8172822222222222)</f>
        <v>0.8172822222</v>
      </c>
      <c r="Q6" s="13">
        <f>IFERROR(__xludf.DUMMYFUNCTION("""COMPUTED_VALUE"""),0.8024629629629632)</f>
        <v>0.802462963</v>
      </c>
      <c r="R6" s="13">
        <f>IFERROR(__xludf.DUMMYFUNCTION("""COMPUTED_VALUE"""),0.8390888888888891)</f>
        <v>0.8390888889</v>
      </c>
      <c r="S6" s="13">
        <f>IFERROR(__xludf.DUMMYFUNCTION("""COMPUTED_VALUE"""),0.7571977777777781)</f>
        <v>0.7571977778</v>
      </c>
      <c r="T6" s="13">
        <f>IFERROR(__xludf.DUMMYFUNCTION("""COMPUTED_VALUE"""),0.7736585185185191)</f>
        <v>0.7736585185</v>
      </c>
      <c r="U6" s="13">
        <f>IFERROR(__xludf.DUMMYFUNCTION("""COMPUTED_VALUE"""),0.7119311111111112)</f>
        <v>0.7119311111</v>
      </c>
      <c r="V6" s="13">
        <f>IFERROR(__xludf.DUMMYFUNCTION("""COMPUTED_VALUE"""),0.5834777777777777)</f>
        <v>0.5834777778</v>
      </c>
      <c r="W6" s="13">
        <f>IFERROR(__xludf.DUMMYFUNCTION("""COMPUTED_VALUE"""),0.6458051851851849)</f>
        <v>0.6458051852</v>
      </c>
      <c r="X6" s="13">
        <f>IFERROR(__xludf.DUMMYFUNCTION("""COMPUTED_VALUE"""),0.6066911111111111)</f>
        <v>0.6066911111</v>
      </c>
      <c r="Y6" s="13">
        <f>IFERROR(__xludf.DUMMYFUNCTION("""COMPUTED_VALUE"""),0.0)</f>
        <v>0</v>
      </c>
      <c r="Z6" s="13">
        <f>IFERROR(__xludf.DUMMYFUNCTION("""COMPUTED_VALUE"""),0.0)</f>
        <v>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ht="24.0" customHeight="1">
      <c r="A7" s="1"/>
      <c r="B7" s="16"/>
      <c r="C7" s="9" t="s">
        <v>31</v>
      </c>
      <c r="D7" s="10">
        <v>3.0</v>
      </c>
      <c r="E7" s="11" t="s">
        <v>32</v>
      </c>
      <c r="F7" s="12">
        <f>IFERROR(__xludf.DUMMYFUNCTION("importrange(""https://docs.google.com/spreadsheets/d/1qODsTtiBbYyChGFWkGh8zoUIK3HxfkVoZGCAI3HTqyc/edit?usp=sharing"",""AI &amp; ML!F41:z41"")"),32.0)</f>
        <v>32</v>
      </c>
      <c r="G7" s="13" t="str">
        <f>IFERROR(__xludf.DUMMYFUNCTION("""COMPUTED_VALUE"""),"Pending")</f>
        <v>Pending</v>
      </c>
      <c r="H7" s="12">
        <f>IFERROR(__xludf.DUMMYFUNCTION("""COMPUTED_VALUE"""),-22.0)</f>
        <v>-22</v>
      </c>
      <c r="I7" s="12">
        <f>IFERROR(__xludf.DUMMYFUNCTION("""COMPUTED_VALUE"""),202.0)</f>
        <v>202</v>
      </c>
      <c r="J7" s="12">
        <f>IFERROR(__xludf.DUMMYFUNCTION("""COMPUTED_VALUE"""),110.0)</f>
        <v>110</v>
      </c>
      <c r="K7" s="12"/>
      <c r="L7" s="13">
        <f>IFERROR(__xludf.DUMMYFUNCTION("""COMPUTED_VALUE"""),0.11086249999999999)</f>
        <v>0.1108625</v>
      </c>
      <c r="M7" s="13">
        <f>IFERROR(__xludf.DUMMYFUNCTION("""COMPUTED_VALUE"""),0.125165625)</f>
        <v>0.125165625</v>
      </c>
      <c r="N7" s="13">
        <f>IFERROR(__xludf.DUMMYFUNCTION("""COMPUTED_VALUE"""),0.15056562499999998)</f>
        <v>0.150565625</v>
      </c>
      <c r="O7" s="13">
        <f>IFERROR(__xludf.DUMMYFUNCTION("""COMPUTED_VALUE"""),0.198659375)</f>
        <v>0.198659375</v>
      </c>
      <c r="P7" s="13">
        <f>IFERROR(__xludf.DUMMYFUNCTION("""COMPUTED_VALUE"""),0.46689374999999994)</f>
        <v>0.46689375</v>
      </c>
      <c r="Q7" s="13">
        <f>IFERROR(__xludf.DUMMYFUNCTION("""COMPUTED_VALUE"""),0.5861124999999999)</f>
        <v>0.5861125</v>
      </c>
      <c r="R7" s="13">
        <f>IFERROR(__xludf.DUMMYFUNCTION("""COMPUTED_VALUE"""),0.7325156249999999)</f>
        <v>0.732515625</v>
      </c>
      <c r="S7" s="13">
        <f>IFERROR(__xludf.DUMMYFUNCTION("""COMPUTED_VALUE"""),0.7202375)</f>
        <v>0.7202375</v>
      </c>
      <c r="T7" s="13">
        <f>IFERROR(__xludf.DUMMYFUNCTION("""COMPUTED_VALUE"""),0.7321531250000001)</f>
        <v>0.732153125</v>
      </c>
      <c r="U7" s="13">
        <f>IFERROR(__xludf.DUMMYFUNCTION("""COMPUTED_VALUE"""),0.7812437500000001)</f>
        <v>0.78124375</v>
      </c>
      <c r="V7" s="13">
        <f>IFERROR(__xludf.DUMMYFUNCTION("""COMPUTED_VALUE"""),0.612125)</f>
        <v>0.612125</v>
      </c>
      <c r="W7" s="13">
        <f>IFERROR(__xludf.DUMMYFUNCTION("""COMPUTED_VALUE"""),0.7582687500000002)</f>
        <v>0.75826875</v>
      </c>
      <c r="X7" s="13">
        <f>IFERROR(__xludf.DUMMYFUNCTION("""COMPUTED_VALUE"""),0.7543656249999999)</f>
        <v>0.754365625</v>
      </c>
      <c r="Y7" s="13">
        <f>IFERROR(__xludf.DUMMYFUNCTION("""COMPUTED_VALUE"""),0.0)</f>
        <v>0</v>
      </c>
      <c r="Z7" s="13">
        <f>IFERROR(__xludf.DUMMYFUNCTION("""COMPUTED_VALUE"""),0.0)</f>
        <v>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ht="24.0" customHeight="1">
      <c r="A8" s="1"/>
      <c r="B8" s="16"/>
      <c r="C8" s="16"/>
      <c r="D8" s="10">
        <v>5.0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ht="24.0" customHeight="1">
      <c r="A9" s="1"/>
      <c r="B9" s="16"/>
      <c r="C9" s="17"/>
      <c r="D9" s="10">
        <v>7.0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ht="24.0" customHeight="1">
      <c r="A10" s="1"/>
      <c r="B10" s="16"/>
      <c r="C10" s="9" t="s">
        <v>33</v>
      </c>
      <c r="D10" s="10">
        <v>3.0</v>
      </c>
      <c r="E10" s="11" t="s">
        <v>34</v>
      </c>
      <c r="F10" s="12">
        <f>IFERROR(__xludf.DUMMYFUNCTION("importrange(""https://docs.google.com/spreadsheets/d/1qODsTtiBbYyChGFWkGh8zoUIK3HxfkVoZGCAI3HTqyc/edit?usp=sharing"",""CSE!F166:z166"")"),157.0)</f>
        <v>157</v>
      </c>
      <c r="G10" s="13" t="str">
        <f>IFERROR(__xludf.DUMMYFUNCTION("""COMPUTED_VALUE"""),"Pending")</f>
        <v>Pending</v>
      </c>
      <c r="H10" s="12">
        <f>IFERROR(__xludf.DUMMYFUNCTION("""COMPUTED_VALUE"""),-5.0)</f>
        <v>-5</v>
      </c>
      <c r="I10" s="12">
        <f>IFERROR(__xludf.DUMMYFUNCTION("""COMPUTED_VALUE"""),273.0)</f>
        <v>273</v>
      </c>
      <c r="J10" s="12">
        <f>IFERROR(__xludf.DUMMYFUNCTION("""COMPUTED_VALUE"""),39.0)</f>
        <v>39</v>
      </c>
      <c r="K10" s="12"/>
      <c r="L10" s="13">
        <f>IFERROR(__xludf.DUMMYFUNCTION("""COMPUTED_VALUE"""),0.5203980891719743)</f>
        <v>0.5203980892</v>
      </c>
      <c r="M10" s="13">
        <f>IFERROR(__xludf.DUMMYFUNCTION("""COMPUTED_VALUE"""),0.5639719745222928)</f>
        <v>0.5639719745</v>
      </c>
      <c r="N10" s="13">
        <f>IFERROR(__xludf.DUMMYFUNCTION("""COMPUTED_VALUE"""),0.6392566878980891)</f>
        <v>0.6392566879</v>
      </c>
      <c r="O10" s="13">
        <f>IFERROR(__xludf.DUMMYFUNCTION("""COMPUTED_VALUE"""),0.6957509554140128)</f>
        <v>0.6957509554</v>
      </c>
      <c r="P10" s="13">
        <f>IFERROR(__xludf.DUMMYFUNCTION("""COMPUTED_VALUE"""),0.7349076433121012)</f>
        <v>0.7349076433</v>
      </c>
      <c r="Q10" s="13">
        <f>IFERROR(__xludf.DUMMYFUNCTION("""COMPUTED_VALUE"""),0.7407452229299357)</f>
        <v>0.7407452229</v>
      </c>
      <c r="R10" s="13">
        <f>IFERROR(__xludf.DUMMYFUNCTION("""COMPUTED_VALUE"""),0.8131668789808915)</f>
        <v>0.813166879</v>
      </c>
      <c r="S10" s="13">
        <f>IFERROR(__xludf.DUMMYFUNCTION("""COMPUTED_VALUE"""),0.7743394904458596)</f>
        <v>0.7743394904</v>
      </c>
      <c r="T10" s="13">
        <f>IFERROR(__xludf.DUMMYFUNCTION("""COMPUTED_VALUE"""),0.7930878980891715)</f>
        <v>0.7930878981</v>
      </c>
      <c r="U10" s="13">
        <f>IFERROR(__xludf.DUMMYFUNCTION("""COMPUTED_VALUE"""),0.8161974522292988)</f>
        <v>0.8161974522</v>
      </c>
      <c r="V10" s="13">
        <f>IFERROR(__xludf.DUMMYFUNCTION("""COMPUTED_VALUE"""),0.5892464968152872)</f>
        <v>0.5892464968</v>
      </c>
      <c r="W10" s="13">
        <f>IFERROR(__xludf.DUMMYFUNCTION("""COMPUTED_VALUE"""),0.6966515923566878)</f>
        <v>0.6966515924</v>
      </c>
      <c r="X10" s="13">
        <f>IFERROR(__xludf.DUMMYFUNCTION("""COMPUTED_VALUE"""),0.7212993630573251)</f>
        <v>0.7212993631</v>
      </c>
      <c r="Y10" s="13">
        <f>IFERROR(__xludf.DUMMYFUNCTION("""COMPUTED_VALUE"""),0.0)</f>
        <v>0</v>
      </c>
      <c r="Z10" s="13">
        <f>IFERROR(__xludf.DUMMYFUNCTION("""COMPUTED_VALUE"""),0.0)</f>
        <v>0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ht="24.0" customHeight="1">
      <c r="A11" s="1"/>
      <c r="B11" s="16"/>
      <c r="C11" s="16"/>
      <c r="D11" s="10">
        <v>5.0</v>
      </c>
      <c r="E11" s="11" t="s">
        <v>35</v>
      </c>
      <c r="F11" s="12">
        <f>IFERROR(__xludf.DUMMYFUNCTION("importrange(""https://docs.google.com/spreadsheets/d/1qODsTtiBbYyChGFWkGh8zoUIK3HxfkVoZGCAI3HTqyc/edit?usp=sharing"",""CSE!F236:z236"")"),66.0)</f>
        <v>66</v>
      </c>
      <c r="G11" s="13" t="str">
        <f>IFERROR(__xludf.DUMMYFUNCTION("""COMPUTED_VALUE"""),"OK")</f>
        <v>OK</v>
      </c>
      <c r="H11" s="12">
        <f>IFERROR(__xludf.DUMMYFUNCTION("""COMPUTED_VALUE"""),6.0)</f>
        <v>6</v>
      </c>
      <c r="I11" s="12">
        <f>IFERROR(__xludf.DUMMYFUNCTION("""COMPUTED_VALUE"""),312.0)</f>
        <v>312</v>
      </c>
      <c r="J11" s="12">
        <f>IFERROR(__xludf.DUMMYFUNCTION("""COMPUTED_VALUE"""),0.0)</f>
        <v>0</v>
      </c>
      <c r="K11" s="13"/>
      <c r="L11" s="13">
        <f>IFERROR(__xludf.DUMMYFUNCTION("""COMPUTED_VALUE"""),0.703925757575757)</f>
        <v>0.7039257576</v>
      </c>
      <c r="M11" s="13">
        <f>IFERROR(__xludf.DUMMYFUNCTION("""COMPUTED_VALUE"""),0.8445136363636364)</f>
        <v>0.8445136364</v>
      </c>
      <c r="N11" s="13">
        <f>IFERROR(__xludf.DUMMYFUNCTION("""COMPUTED_VALUE"""),0.8243818181818182)</f>
        <v>0.8243818182</v>
      </c>
      <c r="O11" s="13">
        <f>IFERROR(__xludf.DUMMYFUNCTION("""COMPUTED_VALUE"""),0.8794727272727277)</f>
        <v>0.8794727273</v>
      </c>
      <c r="P11" s="13">
        <f>IFERROR(__xludf.DUMMYFUNCTION("""COMPUTED_VALUE"""),0.8532984848484851)</f>
        <v>0.8532984848</v>
      </c>
      <c r="Q11" s="13">
        <f>IFERROR(__xludf.DUMMYFUNCTION("""COMPUTED_VALUE"""),0.7958136363636364)</f>
        <v>0.7958136364</v>
      </c>
      <c r="R11" s="13">
        <f>IFERROR(__xludf.DUMMYFUNCTION("""COMPUTED_VALUE"""),0.8581151515151518)</f>
        <v>0.8581151515</v>
      </c>
      <c r="S11" s="13">
        <f>IFERROR(__xludf.DUMMYFUNCTION("""COMPUTED_VALUE"""),0.7920075757575756)</f>
        <v>0.7920075758</v>
      </c>
      <c r="T11" s="13">
        <f>IFERROR(__xludf.DUMMYFUNCTION("""COMPUTED_VALUE"""),0.8116242424242421)</f>
        <v>0.8116242424</v>
      </c>
      <c r="U11" s="13">
        <f>IFERROR(__xludf.DUMMYFUNCTION("""COMPUTED_VALUE"""),0.8355121212121213)</f>
        <v>0.8355121212</v>
      </c>
      <c r="V11" s="13">
        <f>IFERROR(__xludf.DUMMYFUNCTION("""COMPUTED_VALUE"""),0.7099636363636366)</f>
        <v>0.7099636364</v>
      </c>
      <c r="W11" s="13">
        <f>IFERROR(__xludf.DUMMYFUNCTION("""COMPUTED_VALUE"""),0.7403500000000004)</f>
        <v>0.74035</v>
      </c>
      <c r="X11" s="13">
        <f>IFERROR(__xludf.DUMMYFUNCTION("""COMPUTED_VALUE"""),0.7539393939393944)</f>
        <v>0.7539393939</v>
      </c>
      <c r="Y11" s="13">
        <f>IFERROR(__xludf.DUMMYFUNCTION("""COMPUTED_VALUE"""),0.0)</f>
        <v>0</v>
      </c>
      <c r="Z11" s="13">
        <f>IFERROR(__xludf.DUMMYFUNCTION("""COMPUTED_VALUE"""),0.0)</f>
        <v>0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ht="24.0" customHeight="1">
      <c r="A12" s="1"/>
      <c r="B12" s="17"/>
      <c r="C12" s="17"/>
      <c r="D12" s="10">
        <v>7.0</v>
      </c>
      <c r="E12" s="11" t="s">
        <v>36</v>
      </c>
      <c r="F12" s="12">
        <f>IFERROR(__xludf.DUMMYFUNCTION("importrange(""https://docs.google.com/spreadsheets/d/1qODsTtiBbYyChGFWkGh8zoUIK3HxfkVoZGCAI3HTqyc/edit?usp=sharing"",""CSE!F266:z266"")"),26.0)</f>
        <v>26</v>
      </c>
      <c r="G12" s="13" t="str">
        <f>IFERROR(__xludf.DUMMYFUNCTION("""COMPUTED_VALUE"""),"Pending")</f>
        <v>Pending</v>
      </c>
      <c r="H12" s="12">
        <f>IFERROR(__xludf.DUMMYFUNCTION("""COMPUTED_VALUE"""),-4.0)</f>
        <v>-4</v>
      </c>
      <c r="I12" s="12">
        <f>IFERROR(__xludf.DUMMYFUNCTION("""COMPUTED_VALUE"""),276.0)</f>
        <v>276</v>
      </c>
      <c r="J12" s="12">
        <f>IFERROR(__xludf.DUMMYFUNCTION("""COMPUTED_VALUE"""),36.0)</f>
        <v>36</v>
      </c>
      <c r="K12" s="12"/>
      <c r="L12" s="13">
        <f>IFERROR(__xludf.DUMMYFUNCTION("""COMPUTED_VALUE"""),0.63675)</f>
        <v>0.63675</v>
      </c>
      <c r="M12" s="13">
        <f>IFERROR(__xludf.DUMMYFUNCTION("""COMPUTED_VALUE"""),0.8311846153846155)</f>
        <v>0.8311846154</v>
      </c>
      <c r="N12" s="13">
        <f>IFERROR(__xludf.DUMMYFUNCTION("""COMPUTED_VALUE"""),0.7692192307692307)</f>
        <v>0.7692192308</v>
      </c>
      <c r="O12" s="13">
        <f>IFERROR(__xludf.DUMMYFUNCTION("""COMPUTED_VALUE"""),0.8354653846153847)</f>
        <v>0.8354653846</v>
      </c>
      <c r="P12" s="13">
        <f>IFERROR(__xludf.DUMMYFUNCTION("""COMPUTED_VALUE"""),0.8012769230769231)</f>
        <v>0.8012769231</v>
      </c>
      <c r="Q12" s="13">
        <f>IFERROR(__xludf.DUMMYFUNCTION("""COMPUTED_VALUE"""),0.7734923076923076)</f>
        <v>0.7734923077</v>
      </c>
      <c r="R12" s="13">
        <f>IFERROR(__xludf.DUMMYFUNCTION("""COMPUTED_VALUE"""),0.7649615384615385)</f>
        <v>0.7649615385</v>
      </c>
      <c r="S12" s="13">
        <f>IFERROR(__xludf.DUMMYFUNCTION("""COMPUTED_VALUE"""),0.7329038461538462)</f>
        <v>0.7329038462</v>
      </c>
      <c r="T12" s="13">
        <f>IFERROR(__xludf.DUMMYFUNCTION("""COMPUTED_VALUE"""),0.7756384615384616)</f>
        <v>0.7756384615</v>
      </c>
      <c r="U12" s="13">
        <f>IFERROR(__xludf.DUMMYFUNCTION("""COMPUTED_VALUE"""),0.6602576923076924)</f>
        <v>0.6602576923</v>
      </c>
      <c r="V12" s="13">
        <f>IFERROR(__xludf.DUMMYFUNCTION("""COMPUTED_VALUE"""),0.42306923076923086)</f>
        <v>0.4230692308</v>
      </c>
      <c r="W12" s="13">
        <f>IFERROR(__xludf.DUMMYFUNCTION("""COMPUTED_VALUE"""),0.6246923076923075)</f>
        <v>0.6246923077</v>
      </c>
      <c r="X12" s="13">
        <f>IFERROR(__xludf.DUMMYFUNCTION("""COMPUTED_VALUE"""),0.5736)</f>
        <v>0.5736</v>
      </c>
      <c r="Y12" s="13">
        <f>IFERROR(__xludf.DUMMYFUNCTION("""COMPUTED_VALUE"""),0.0)</f>
        <v>0</v>
      </c>
      <c r="Z12" s="13">
        <f>IFERROR(__xludf.DUMMYFUNCTION("""COMPUTED_VALUE"""),0.0)</f>
        <v>0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ht="24.0" customHeight="1">
      <c r="A13" s="1"/>
      <c r="B13" s="9" t="s">
        <v>37</v>
      </c>
      <c r="C13" s="9" t="s">
        <v>37</v>
      </c>
      <c r="D13" s="10">
        <v>3.0</v>
      </c>
      <c r="E13" s="11" t="s">
        <v>38</v>
      </c>
      <c r="F13" s="12">
        <f>IFERROR(__xludf.DUMMYFUNCTION("importrange(""https://docs.google.com/spreadsheets/d/1HcyWbfdI-yI_nxLFHXLFqqXlq3xep4u4WcCv63kRT1c/edit?usp=sharing"",""CIVIL!F41:z41"")"),34.0)</f>
        <v>34</v>
      </c>
      <c r="G13" s="12" t="str">
        <f>IFERROR(__xludf.DUMMYFUNCTION("""COMPUTED_VALUE"""),"Pending")</f>
        <v>Pending</v>
      </c>
      <c r="H13" s="12">
        <f>IFERROR(__xludf.DUMMYFUNCTION("""COMPUTED_VALUE"""),-15.0)</f>
        <v>-15</v>
      </c>
      <c r="I13" s="12">
        <f>IFERROR(__xludf.DUMMYFUNCTION("""COMPUTED_VALUE"""),235.0)</f>
        <v>235</v>
      </c>
      <c r="J13" s="12">
        <f>IFERROR(__xludf.DUMMYFUNCTION("""COMPUTED_VALUE"""),77.0)</f>
        <v>77</v>
      </c>
      <c r="K13" s="12"/>
      <c r="L13" s="13">
        <f>IFERROR(__xludf.DUMMYFUNCTION("""COMPUTED_VALUE"""),0.2981294117647059)</f>
        <v>0.2981294118</v>
      </c>
      <c r="M13" s="13">
        <f>IFERROR(__xludf.DUMMYFUNCTION("""COMPUTED_VALUE"""),0.39542352941176473)</f>
        <v>0.3954235294</v>
      </c>
      <c r="N13" s="13">
        <f>IFERROR(__xludf.DUMMYFUNCTION("""COMPUTED_VALUE"""),0.4117588235294118)</f>
        <v>0.4117588235</v>
      </c>
      <c r="O13" s="13">
        <f>IFERROR(__xludf.DUMMYFUNCTION("""COMPUTED_VALUE"""),0.5717470588235294)</f>
        <v>0.5717470588</v>
      </c>
      <c r="P13" s="13">
        <f>IFERROR(__xludf.DUMMYFUNCTION("""COMPUTED_VALUE"""),0.600970588235294)</f>
        <v>0.6009705882</v>
      </c>
      <c r="Q13" s="13">
        <f>IFERROR(__xludf.DUMMYFUNCTION("""COMPUTED_VALUE"""),0.5715235294117645)</f>
        <v>0.5715235294</v>
      </c>
      <c r="R13" s="13">
        <f>IFERROR(__xludf.DUMMYFUNCTION("""COMPUTED_VALUE"""),0.7212235294117646)</f>
        <v>0.7212235294</v>
      </c>
      <c r="S13" s="13">
        <f>IFERROR(__xludf.DUMMYFUNCTION("""COMPUTED_VALUE"""),0.7847352941176472)</f>
        <v>0.7847352941</v>
      </c>
      <c r="T13" s="13">
        <f>IFERROR(__xludf.DUMMYFUNCTION("""COMPUTED_VALUE"""),0.8328823529411762)</f>
        <v>0.8328823529</v>
      </c>
      <c r="U13" s="13">
        <f>IFERROR(__xludf.DUMMYFUNCTION("""COMPUTED_VALUE"""),0.7914411764705883)</f>
        <v>0.7914411765</v>
      </c>
      <c r="V13" s="13">
        <f>IFERROR(__xludf.DUMMYFUNCTION("""COMPUTED_VALUE"""),0.5777382352941176)</f>
        <v>0.5777382353</v>
      </c>
      <c r="W13" s="13">
        <f>IFERROR(__xludf.DUMMYFUNCTION("""COMPUTED_VALUE"""),0.5949264705882353)</f>
        <v>0.5949264706</v>
      </c>
      <c r="X13" s="13">
        <f>IFERROR(__xludf.DUMMYFUNCTION("""COMPUTED_VALUE"""),0.6647058823529413)</f>
        <v>0.6647058824</v>
      </c>
      <c r="Y13" s="13">
        <f>IFERROR(__xludf.DUMMYFUNCTION("""COMPUTED_VALUE"""),0.0)</f>
        <v>0</v>
      </c>
      <c r="Z13" s="13">
        <f>IFERROR(__xludf.DUMMYFUNCTION("""COMPUTED_VALUE"""),0.0)</f>
        <v>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ht="24.0" customHeight="1">
      <c r="A14" s="1"/>
      <c r="B14" s="16"/>
      <c r="C14" s="16"/>
      <c r="D14" s="10">
        <v>5.0</v>
      </c>
      <c r="E14" s="11" t="s">
        <v>39</v>
      </c>
      <c r="F14" s="12">
        <f>IFERROR(__xludf.DUMMYFUNCTION("importrange(""https://docs.google.com/spreadsheets/d/1HcyWbfdI-yI_nxLFHXLFqqXlq3xep4u4WcCv63kRT1c/edit?usp=sharing"",""CIVIL!F68:z68"")"),24.0)</f>
        <v>24</v>
      </c>
      <c r="G14" s="12" t="str">
        <f>IFERROR(__xludf.DUMMYFUNCTION("""COMPUTED_VALUE"""),"Pending")</f>
        <v>Pending</v>
      </c>
      <c r="H14" s="12">
        <f>IFERROR(__xludf.DUMMYFUNCTION("""COMPUTED_VALUE"""),-8.0)</f>
        <v>-8</v>
      </c>
      <c r="I14" s="12">
        <f>IFERROR(__xludf.DUMMYFUNCTION("""COMPUTED_VALUE"""),260.0)</f>
        <v>260</v>
      </c>
      <c r="J14" s="12">
        <f>IFERROR(__xludf.DUMMYFUNCTION("""COMPUTED_VALUE"""),52.0)</f>
        <v>52</v>
      </c>
      <c r="K14" s="12"/>
      <c r="L14" s="13">
        <f>IFERROR(__xludf.DUMMYFUNCTION("""COMPUTED_VALUE"""),0.5151541666666668)</f>
        <v>0.5151541667</v>
      </c>
      <c r="M14" s="13">
        <f>IFERROR(__xludf.DUMMYFUNCTION("""COMPUTED_VALUE"""),0.7720666666666668)</f>
        <v>0.7720666667</v>
      </c>
      <c r="N14" s="13">
        <f>IFERROR(__xludf.DUMMYFUNCTION("""COMPUTED_VALUE"""),0.7102291666666667)</f>
        <v>0.7102291667</v>
      </c>
      <c r="O14" s="13">
        <f>IFERROR(__xludf.DUMMYFUNCTION("""COMPUTED_VALUE"""),0.710225)</f>
        <v>0.710225</v>
      </c>
      <c r="P14" s="13">
        <f>IFERROR(__xludf.DUMMYFUNCTION("""COMPUTED_VALUE"""),0.7119500000000002)</f>
        <v>0.71195</v>
      </c>
      <c r="Q14" s="13">
        <f>IFERROR(__xludf.DUMMYFUNCTION("""COMPUTED_VALUE"""),0.6553083333333334)</f>
        <v>0.6553083333</v>
      </c>
      <c r="R14" s="13">
        <f>IFERROR(__xludf.DUMMYFUNCTION("""COMPUTED_VALUE"""),0.6893833333333331)</f>
        <v>0.6893833333</v>
      </c>
      <c r="S14" s="13">
        <f>IFERROR(__xludf.DUMMYFUNCTION("""COMPUTED_VALUE"""),0.7309)</f>
        <v>0.7309</v>
      </c>
      <c r="T14" s="13">
        <f>IFERROR(__xludf.DUMMYFUNCTION("""COMPUTED_VALUE"""),0.7386416666666666)</f>
        <v>0.7386416667</v>
      </c>
      <c r="U14" s="13">
        <f>IFERROR(__xludf.DUMMYFUNCTION("""COMPUTED_VALUE"""),0.6874916666666667)</f>
        <v>0.6874916667</v>
      </c>
      <c r="V14" s="13">
        <f>IFERROR(__xludf.DUMMYFUNCTION("""COMPUTED_VALUE"""),0.5256458333333333)</f>
        <v>0.5256458333</v>
      </c>
      <c r="W14" s="13">
        <f>IFERROR(__xludf.DUMMYFUNCTION("""COMPUTED_VALUE"""),0.6539875000000002)</f>
        <v>0.6539875</v>
      </c>
      <c r="X14" s="13">
        <f>IFERROR(__xludf.DUMMYFUNCTION("""COMPUTED_VALUE"""),0.5716666666666667)</f>
        <v>0.5716666667</v>
      </c>
      <c r="Y14" s="13">
        <f>IFERROR(__xludf.DUMMYFUNCTION("""COMPUTED_VALUE"""),0.0)</f>
        <v>0</v>
      </c>
      <c r="Z14" s="13">
        <f>IFERROR(__xludf.DUMMYFUNCTION("""COMPUTED_VALUE"""),0.0)</f>
        <v>0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ht="24.0" customHeight="1">
      <c r="A15" s="1"/>
      <c r="B15" s="17"/>
      <c r="C15" s="17"/>
      <c r="D15" s="10">
        <v>7.0</v>
      </c>
      <c r="E15" s="11" t="s">
        <v>40</v>
      </c>
      <c r="F15" s="12">
        <f>IFERROR(__xludf.DUMMYFUNCTION("importrange(""https://docs.google.com/spreadsheets/d/1HcyWbfdI-yI_nxLFHXLFqqXlq3xep4u4WcCv63kRT1c/edit?usp=sharing"",""CIVIL!F90:z90"")"),19.0)</f>
        <v>19</v>
      </c>
      <c r="G15" s="12" t="str">
        <f>IFERROR(__xludf.DUMMYFUNCTION("""COMPUTED_VALUE"""),"Pending")</f>
        <v>Pending</v>
      </c>
      <c r="H15" s="12">
        <f>IFERROR(__xludf.DUMMYFUNCTION("""COMPUTED_VALUE"""),-15.0)</f>
        <v>-15</v>
      </c>
      <c r="I15" s="12">
        <f>IFERROR(__xludf.DUMMYFUNCTION("""COMPUTED_VALUE"""),242.0)</f>
        <v>242</v>
      </c>
      <c r="J15" s="12">
        <f>IFERROR(__xludf.DUMMYFUNCTION("""COMPUTED_VALUE"""),70.0)</f>
        <v>70</v>
      </c>
      <c r="K15" s="12"/>
      <c r="L15" s="13">
        <f>IFERROR(__xludf.DUMMYFUNCTION("""COMPUTED_VALUE"""),0.4934210526315789)</f>
        <v>0.4934210526</v>
      </c>
      <c r="M15" s="13">
        <f>IFERROR(__xludf.DUMMYFUNCTION("""COMPUTED_VALUE"""),0.6072947368421052)</f>
        <v>0.6072947368</v>
      </c>
      <c r="N15" s="13">
        <f>IFERROR(__xludf.DUMMYFUNCTION("""COMPUTED_VALUE"""),0.6710526315789473)</f>
        <v>0.6710526316</v>
      </c>
      <c r="O15" s="13">
        <f>IFERROR(__xludf.DUMMYFUNCTION("""COMPUTED_VALUE"""),0.7335526315789473)</f>
        <v>0.7335526316</v>
      </c>
      <c r="P15" s="13">
        <f>IFERROR(__xludf.DUMMYFUNCTION("""COMPUTED_VALUE"""),0.7039473684210527)</f>
        <v>0.7039473684</v>
      </c>
      <c r="Q15" s="13">
        <f>IFERROR(__xludf.DUMMYFUNCTION("""COMPUTED_VALUE"""),0.694078947368421)</f>
        <v>0.6940789474</v>
      </c>
      <c r="R15" s="13">
        <f>IFERROR(__xludf.DUMMYFUNCTION("""COMPUTED_VALUE"""),0.6068157894736842)</f>
        <v>0.6068157895</v>
      </c>
      <c r="S15" s="13">
        <f>IFERROR(__xludf.DUMMYFUNCTION("""COMPUTED_VALUE"""),0.649121052631579)</f>
        <v>0.6491210526</v>
      </c>
      <c r="T15" s="13">
        <f>IFERROR(__xludf.DUMMYFUNCTION("""COMPUTED_VALUE"""),0.7514578947368421)</f>
        <v>0.7514578947</v>
      </c>
      <c r="U15" s="13">
        <f>IFERROR(__xludf.DUMMYFUNCTION("""COMPUTED_VALUE"""),0.6480263157894737)</f>
        <v>0.6480263158</v>
      </c>
      <c r="V15" s="13">
        <f>IFERROR(__xludf.DUMMYFUNCTION("""COMPUTED_VALUE"""),0.6081894736842104)</f>
        <v>0.6081894737</v>
      </c>
      <c r="W15" s="13">
        <f>IFERROR(__xludf.DUMMYFUNCTION("""COMPUTED_VALUE"""),0.3717105263157895)</f>
        <v>0.3717105263</v>
      </c>
      <c r="X15" s="13">
        <f>IFERROR(__xludf.DUMMYFUNCTION("""COMPUTED_VALUE"""),0.5318578947368421)</f>
        <v>0.5318578947</v>
      </c>
      <c r="Y15" s="13">
        <f>IFERROR(__xludf.DUMMYFUNCTION("""COMPUTED_VALUE"""),0.0)</f>
        <v>0</v>
      </c>
      <c r="Z15" s="13">
        <f>IFERROR(__xludf.DUMMYFUNCTION("""COMPUTED_VALUE"""),0.0)</f>
        <v>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ht="24.0" customHeight="1">
      <c r="A16" s="1"/>
      <c r="B16" s="9" t="s">
        <v>41</v>
      </c>
      <c r="C16" s="9" t="s">
        <v>41</v>
      </c>
      <c r="D16" s="10">
        <v>3.0</v>
      </c>
      <c r="E16" s="11" t="s">
        <v>42</v>
      </c>
      <c r="F16" s="12">
        <f>IFERROR(__xludf.DUMMYFUNCTION("importrange(""https://docs.google.com/spreadsheets/d/1xNlVZ7fUr_eJjkh8vEu-4zRm83dUcSl3844ZMZdQ4eA/edit?usp=sharing"",""ELECTRICAL!F19:z19"")"),12.0)</f>
        <v>12</v>
      </c>
      <c r="G16" s="13" t="str">
        <f>IFERROR(__xludf.DUMMYFUNCTION("""COMPUTED_VALUE"""),"Pending")</f>
        <v>Pending</v>
      </c>
      <c r="H16" s="18">
        <f>IFERROR(__xludf.DUMMYFUNCTION("""COMPUTED_VALUE"""),-16.0)</f>
        <v>-16</v>
      </c>
      <c r="I16" s="12">
        <f>IFERROR(__xludf.DUMMYFUNCTION("""COMPUTED_VALUE"""),231.0)</f>
        <v>231</v>
      </c>
      <c r="J16" s="12">
        <f>IFERROR(__xludf.DUMMYFUNCTION("""COMPUTED_VALUE"""),81.0)</f>
        <v>81</v>
      </c>
      <c r="K16" s="12"/>
      <c r="L16" s="13">
        <f>IFERROR(__xludf.DUMMYFUNCTION("""COMPUTED_VALUE"""),0.2613666666666667)</f>
        <v>0.2613666667</v>
      </c>
      <c r="M16" s="13">
        <f>IFERROR(__xludf.DUMMYFUNCTION("""COMPUTED_VALUE"""),0.20833333333333334)</f>
        <v>0.2083333333</v>
      </c>
      <c r="N16" s="13">
        <f>IFERROR(__xludf.DUMMYFUNCTION("""COMPUTED_VALUE"""),0.4539583333333334)</f>
        <v>0.4539583333</v>
      </c>
      <c r="O16" s="13">
        <f>IFERROR(__xludf.DUMMYFUNCTION("""COMPUTED_VALUE"""),0.4756916666666666)</f>
        <v>0.4756916667</v>
      </c>
      <c r="P16" s="13">
        <f>IFERROR(__xludf.DUMMYFUNCTION("""COMPUTED_VALUE"""),0.6702916666666666)</f>
        <v>0.6702916667</v>
      </c>
      <c r="Q16" s="13">
        <f>IFERROR(__xludf.DUMMYFUNCTION("""COMPUTED_VALUE"""),0.7125583333333333)</f>
        <v>0.7125583333</v>
      </c>
      <c r="R16" s="13">
        <f>IFERROR(__xludf.DUMMYFUNCTION("""COMPUTED_VALUE"""),0.7794249999999999)</f>
        <v>0.779425</v>
      </c>
      <c r="S16" s="13">
        <f>IFERROR(__xludf.DUMMYFUNCTION("""COMPUTED_VALUE"""),0.7173833333333334)</f>
        <v>0.7173833333</v>
      </c>
      <c r="T16" s="13">
        <f>IFERROR(__xludf.DUMMYFUNCTION("""COMPUTED_VALUE"""),0.9444)</f>
        <v>0.9444</v>
      </c>
      <c r="U16" s="13">
        <f>IFERROR(__xludf.DUMMYFUNCTION("""COMPUTED_VALUE"""),0.7631583333333333)</f>
        <v>0.7631583333</v>
      </c>
      <c r="V16" s="13">
        <f>IFERROR(__xludf.DUMMYFUNCTION("""COMPUTED_VALUE"""),0.4394166666666666)</f>
        <v>0.4394166667</v>
      </c>
      <c r="W16" s="13">
        <f>IFERROR(__xludf.DUMMYFUNCTION("""COMPUTED_VALUE"""),0.6340416666666667)</f>
        <v>0.6340416667</v>
      </c>
      <c r="X16" s="13">
        <f>IFERROR(__xludf.DUMMYFUNCTION("""COMPUTED_VALUE"""),0.6269833333333333)</f>
        <v>0.6269833333</v>
      </c>
      <c r="Y16" s="13">
        <f>IFERROR(__xludf.DUMMYFUNCTION("""COMPUTED_VALUE"""),0.0)</f>
        <v>0</v>
      </c>
      <c r="Z16" s="13">
        <f>IFERROR(__xludf.DUMMYFUNCTION("""COMPUTED_VALUE"""),0.0)</f>
        <v>0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ht="24.0" customHeight="1">
      <c r="A17" s="1"/>
      <c r="B17" s="16"/>
      <c r="C17" s="16"/>
      <c r="D17" s="10">
        <v>5.0</v>
      </c>
      <c r="E17" s="11" t="s">
        <v>43</v>
      </c>
      <c r="F17" s="12">
        <f>IFERROR(__xludf.DUMMYFUNCTION("importrange(""https://docs.google.com/spreadsheets/d/1xNlVZ7fUr_eJjkh8vEu-4zRm83dUcSl3844ZMZdQ4eA/edit?usp=sharing"",""ELECTRICAL!F33:z33"")"),11.0)</f>
        <v>11</v>
      </c>
      <c r="G17" s="13" t="str">
        <f>IFERROR(__xludf.DUMMYFUNCTION("""COMPUTED_VALUE"""),"Pending")</f>
        <v>Pending</v>
      </c>
      <c r="H17" s="18">
        <f>IFERROR(__xludf.DUMMYFUNCTION("""COMPUTED_VALUE"""),-28.0)</f>
        <v>-28</v>
      </c>
      <c r="I17" s="12">
        <f>IFERROR(__xludf.DUMMYFUNCTION("""COMPUTED_VALUE"""),187.0)</f>
        <v>187</v>
      </c>
      <c r="J17" s="12">
        <f>IFERROR(__xludf.DUMMYFUNCTION("""COMPUTED_VALUE"""),125.0)</f>
        <v>125</v>
      </c>
      <c r="K17" s="12"/>
      <c r="L17" s="13">
        <f>IFERROR(__xludf.DUMMYFUNCTION("""COMPUTED_VALUE"""),0.2190090909090909)</f>
        <v>0.2190090909</v>
      </c>
      <c r="M17" s="13">
        <f>IFERROR(__xludf.DUMMYFUNCTION("""COMPUTED_VALUE"""),0.3737363636363637)</f>
        <v>0.3737363636</v>
      </c>
      <c r="N17" s="13">
        <f>IFERROR(__xludf.DUMMYFUNCTION("""COMPUTED_VALUE"""),0.5785272727272728)</f>
        <v>0.5785272727</v>
      </c>
      <c r="O17" s="13">
        <f>IFERROR(__xludf.DUMMYFUNCTION("""COMPUTED_VALUE"""),0.5098909090909091)</f>
        <v>0.5098909091</v>
      </c>
      <c r="P17" s="13">
        <f>IFERROR(__xludf.DUMMYFUNCTION("""COMPUTED_VALUE"""),0.5206545454545455)</f>
        <v>0.5206545455</v>
      </c>
      <c r="Q17" s="13">
        <f>IFERROR(__xludf.DUMMYFUNCTION("""COMPUTED_VALUE"""),0.5019727272727272)</f>
        <v>0.5019727273</v>
      </c>
      <c r="R17" s="13">
        <f>IFERROR(__xludf.DUMMYFUNCTION("""COMPUTED_VALUE"""),0.6281)</f>
        <v>0.6281</v>
      </c>
      <c r="S17" s="13">
        <f>IFERROR(__xludf.DUMMYFUNCTION("""COMPUTED_VALUE"""),0.42973636363636364)</f>
        <v>0.4297363636</v>
      </c>
      <c r="T17" s="13">
        <f>IFERROR(__xludf.DUMMYFUNCTION("""COMPUTED_VALUE"""),0.3471090909090909)</f>
        <v>0.3471090909</v>
      </c>
      <c r="U17" s="13">
        <f>IFERROR(__xludf.DUMMYFUNCTION("""COMPUTED_VALUE"""),0.5454636363636364)</f>
        <v>0.5454636364</v>
      </c>
      <c r="V17" s="13">
        <f>IFERROR(__xludf.DUMMYFUNCTION("""COMPUTED_VALUE"""),0.3766090909090909)</f>
        <v>0.3766090909</v>
      </c>
      <c r="W17" s="13">
        <f>IFERROR(__xludf.DUMMYFUNCTION("""COMPUTED_VALUE"""),0.580090909090909)</f>
        <v>0.5800909091</v>
      </c>
      <c r="X17" s="13">
        <f>IFERROR(__xludf.DUMMYFUNCTION("""COMPUTED_VALUE"""),0.6157090909090909)</f>
        <v>0.6157090909</v>
      </c>
      <c r="Y17" s="13">
        <f>IFERROR(__xludf.DUMMYFUNCTION("""COMPUTED_VALUE"""),0.0)</f>
        <v>0</v>
      </c>
      <c r="Z17" s="13">
        <f>IFERROR(__xludf.DUMMYFUNCTION("""COMPUTED_VALUE"""),0.0)</f>
        <v>0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ht="24.0" customHeight="1">
      <c r="A18" s="1"/>
      <c r="B18" s="17"/>
      <c r="C18" s="17"/>
      <c r="D18" s="10">
        <v>7.0</v>
      </c>
      <c r="E18" s="11" t="s">
        <v>44</v>
      </c>
      <c r="F18" s="12">
        <f>IFERROR(__xludf.DUMMYFUNCTION("importrange(""https://docs.google.com/spreadsheets/d/1xNlVZ7fUr_eJjkh8vEu-4zRm83dUcSl3844ZMZdQ4eA/edit?usp=sharing"",""ELECTRICAL!F53:z53"")"),17.0)</f>
        <v>17</v>
      </c>
      <c r="G18" s="13" t="str">
        <f>IFERROR(__xludf.DUMMYFUNCTION("""COMPUTED_VALUE"""),"Pending")</f>
        <v>Pending</v>
      </c>
      <c r="H18" s="18">
        <f>IFERROR(__xludf.DUMMYFUNCTION("""COMPUTED_VALUE"""),-19.0)</f>
        <v>-19</v>
      </c>
      <c r="I18" s="12">
        <f>IFERROR(__xludf.DUMMYFUNCTION("""COMPUTED_VALUE"""),220.0)</f>
        <v>220</v>
      </c>
      <c r="J18" s="12">
        <f>IFERROR(__xludf.DUMMYFUNCTION("""COMPUTED_VALUE"""),92.0)</f>
        <v>92</v>
      </c>
      <c r="K18" s="12"/>
      <c r="L18" s="13">
        <f>IFERROR(__xludf.DUMMYFUNCTION("""COMPUTED_VALUE"""),0.45882352941176474)</f>
        <v>0.4588235294</v>
      </c>
      <c r="M18" s="13">
        <f>IFERROR(__xludf.DUMMYFUNCTION("""COMPUTED_VALUE"""),0.6111117647058824)</f>
        <v>0.6111117647</v>
      </c>
      <c r="N18" s="13">
        <f>IFERROR(__xludf.DUMMYFUNCTION("""COMPUTED_VALUE"""),0.5686235294117647)</f>
        <v>0.5686235294</v>
      </c>
      <c r="O18" s="13">
        <f>IFERROR(__xludf.DUMMYFUNCTION("""COMPUTED_VALUE"""),0.6016000000000001)</f>
        <v>0.6016</v>
      </c>
      <c r="P18" s="13">
        <f>IFERROR(__xludf.DUMMYFUNCTION("""COMPUTED_VALUE"""),0.5434176470588234)</f>
        <v>0.5434176471</v>
      </c>
      <c r="Q18" s="13">
        <f>IFERROR(__xludf.DUMMYFUNCTION("""COMPUTED_VALUE"""),0.5182117647058824)</f>
        <v>0.5182117647</v>
      </c>
      <c r="R18" s="13">
        <f>IFERROR(__xludf.DUMMYFUNCTION("""COMPUTED_VALUE"""),0.7479058823529412)</f>
        <v>0.7479058824</v>
      </c>
      <c r="S18" s="13">
        <f>IFERROR(__xludf.DUMMYFUNCTION("""COMPUTED_VALUE"""),0.6274529411764704)</f>
        <v>0.6274529412</v>
      </c>
      <c r="T18" s="13">
        <f>IFERROR(__xludf.DUMMYFUNCTION("""COMPUTED_VALUE"""),0.6302588235294118)</f>
        <v>0.6302588235</v>
      </c>
      <c r="U18" s="13">
        <f>IFERROR(__xludf.DUMMYFUNCTION("""COMPUTED_VALUE"""),0.666670588235294)</f>
        <v>0.6666705882</v>
      </c>
      <c r="V18" s="13">
        <f>IFERROR(__xludf.DUMMYFUNCTION("""COMPUTED_VALUE"""),0.22941176470588234)</f>
        <v>0.2294117647</v>
      </c>
      <c r="W18" s="13">
        <f>IFERROR(__xludf.DUMMYFUNCTION("""COMPUTED_VALUE"""),0.5574294117647058)</f>
        <v>0.5574294118</v>
      </c>
      <c r="X18" s="13">
        <f>IFERROR(__xludf.DUMMYFUNCTION("""COMPUTED_VALUE"""),0.5838941176470586)</f>
        <v>0.5838941176</v>
      </c>
      <c r="Y18" s="13">
        <f>IFERROR(__xludf.DUMMYFUNCTION("""COMPUTED_VALUE"""),0.0)</f>
        <v>0</v>
      </c>
      <c r="Z18" s="13">
        <f>IFERROR(__xludf.DUMMYFUNCTION("""COMPUTED_VALUE"""),0.0)</f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ht="24.0" customHeight="1">
      <c r="A19" s="1"/>
      <c r="B19" s="9" t="s">
        <v>45</v>
      </c>
      <c r="C19" s="9" t="s">
        <v>46</v>
      </c>
      <c r="D19" s="10">
        <v>3.0</v>
      </c>
      <c r="E19" s="11" t="s">
        <v>47</v>
      </c>
      <c r="F19" s="12">
        <f>IFERROR(__xludf.DUMMYFUNCTION("importrange(""https://docs.google.com/spreadsheets/d/1cao1o_a29xkiCSTaezD5vXsiM11cvngfLDswMF4Oy6k/edit?usp=sharing"",""MECHANICAL!F40:z40"")"),32.0)</f>
        <v>32</v>
      </c>
      <c r="G19" s="12" t="str">
        <f>IFERROR(__xludf.DUMMYFUNCTION("""COMPUTED_VALUE"""),"Pending")</f>
        <v>Pending</v>
      </c>
      <c r="H19" s="12">
        <f>IFERROR(__xludf.DUMMYFUNCTION("""COMPUTED_VALUE"""),-8.0)</f>
        <v>-8</v>
      </c>
      <c r="I19" s="12">
        <f>IFERROR(__xludf.DUMMYFUNCTION("""COMPUTED_VALUE"""),260.0)</f>
        <v>260</v>
      </c>
      <c r="J19" s="12">
        <f>IFERROR(__xludf.DUMMYFUNCTION("""COMPUTED_VALUE"""),52.0)</f>
        <v>52</v>
      </c>
      <c r="K19" s="12"/>
      <c r="L19" s="13">
        <f>IFERROR(__xludf.DUMMYFUNCTION("""COMPUTED_VALUE"""),0.452059375)</f>
        <v>0.452059375</v>
      </c>
      <c r="M19" s="13">
        <f>IFERROR(__xludf.DUMMYFUNCTION("""COMPUTED_VALUE"""),0.48577499999999996)</f>
        <v>0.485775</v>
      </c>
      <c r="N19" s="13">
        <f>IFERROR(__xludf.DUMMYFUNCTION("""COMPUTED_VALUE"""),0.5412500000000001)</f>
        <v>0.54125</v>
      </c>
      <c r="O19" s="13">
        <f>IFERROR(__xludf.DUMMYFUNCTION("""COMPUTED_VALUE"""),0.5495593750000001)</f>
        <v>0.549559375</v>
      </c>
      <c r="P19" s="13">
        <f>IFERROR(__xludf.DUMMYFUNCTION("""COMPUTED_VALUE"""),0.7450000000000001)</f>
        <v>0.745</v>
      </c>
      <c r="Q19" s="13">
        <f>IFERROR(__xludf.DUMMYFUNCTION("""COMPUTED_VALUE"""),0.8505187500000001)</f>
        <v>0.85051875</v>
      </c>
      <c r="R19" s="13">
        <f>IFERROR(__xludf.DUMMYFUNCTION("""COMPUTED_VALUE"""),0.8062500000000001)</f>
        <v>0.80625</v>
      </c>
      <c r="S19" s="13">
        <f>IFERROR(__xludf.DUMMYFUNCTION("""COMPUTED_VALUE"""),0.7737499999999999)</f>
        <v>0.77375</v>
      </c>
      <c r="T19" s="13">
        <f>IFERROR(__xludf.DUMMYFUNCTION("""COMPUTED_VALUE"""),0.8112500000000002)</f>
        <v>0.81125</v>
      </c>
      <c r="U19" s="13">
        <f>IFERROR(__xludf.DUMMYFUNCTION("""COMPUTED_VALUE"""),0.785)</f>
        <v>0.785</v>
      </c>
      <c r="V19" s="13">
        <f>IFERROR(__xludf.DUMMYFUNCTION("""COMPUTED_VALUE"""),0.49047812500000015)</f>
        <v>0.490478125</v>
      </c>
      <c r="W19" s="13">
        <f>IFERROR(__xludf.DUMMYFUNCTION("""COMPUTED_VALUE"""),0.6430343749999999)</f>
        <v>0.643034375</v>
      </c>
      <c r="X19" s="13">
        <f>IFERROR(__xludf.DUMMYFUNCTION("""COMPUTED_VALUE"""),0.7368343750000002)</f>
        <v>0.736834375</v>
      </c>
      <c r="Y19" s="13">
        <f>IFERROR(__xludf.DUMMYFUNCTION("""COMPUTED_VALUE"""),0.0)</f>
        <v>0</v>
      </c>
      <c r="Z19" s="13">
        <f>IFERROR(__xludf.DUMMYFUNCTION("""COMPUTED_VALUE"""),0.0)</f>
        <v>0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ht="24.0" customHeight="1">
      <c r="A20" s="1"/>
      <c r="B20" s="16"/>
      <c r="C20" s="16"/>
      <c r="D20" s="10">
        <v>5.0</v>
      </c>
      <c r="E20" s="11" t="s">
        <v>48</v>
      </c>
      <c r="F20" s="12">
        <f>IFERROR(__xludf.DUMMYFUNCTION("importrange(""https://docs.google.com/spreadsheets/d/1cao1o_a29xkiCSTaezD5vXsiM11cvngfLDswMF4Oy6k/edit?usp=sharing"",""MECHANICAL!F67:z67"")"),24.0)</f>
        <v>24</v>
      </c>
      <c r="G20" s="12" t="str">
        <f>IFERROR(__xludf.DUMMYFUNCTION("""COMPUTED_VALUE"""),"Pending")</f>
        <v>Pending</v>
      </c>
      <c r="H20" s="12">
        <f>IFERROR(__xludf.DUMMYFUNCTION("""COMPUTED_VALUE"""),-6.0)</f>
        <v>-6</v>
      </c>
      <c r="I20" s="12">
        <f>IFERROR(__xludf.DUMMYFUNCTION("""COMPUTED_VALUE"""),269.0)</f>
        <v>269</v>
      </c>
      <c r="J20" s="12">
        <f>IFERROR(__xludf.DUMMYFUNCTION("""COMPUTED_VALUE"""),43.0)</f>
        <v>43</v>
      </c>
      <c r="K20" s="12"/>
      <c r="L20" s="13">
        <f>IFERROR(__xludf.DUMMYFUNCTION("""COMPUTED_VALUE"""),0.51)</f>
        <v>0.51</v>
      </c>
      <c r="M20" s="13">
        <f>IFERROR(__xludf.DUMMYFUNCTION("""COMPUTED_VALUE"""),0.6458333333333333)</f>
        <v>0.6458333333</v>
      </c>
      <c r="N20" s="13">
        <f>IFERROR(__xludf.DUMMYFUNCTION("""COMPUTED_VALUE"""),0.7157583333333334)</f>
        <v>0.7157583333</v>
      </c>
      <c r="O20" s="13">
        <f>IFERROR(__xludf.DUMMYFUNCTION("""COMPUTED_VALUE"""),0.7438375000000002)</f>
        <v>0.7438375</v>
      </c>
      <c r="P20" s="13">
        <f>IFERROR(__xludf.DUMMYFUNCTION("""COMPUTED_VALUE"""),0.795)</f>
        <v>0.795</v>
      </c>
      <c r="Q20" s="13">
        <f>IFERROR(__xludf.DUMMYFUNCTION("""COMPUTED_VALUE"""),0.7316666666666668)</f>
        <v>0.7316666667</v>
      </c>
      <c r="R20" s="13">
        <f>IFERROR(__xludf.DUMMYFUNCTION("""COMPUTED_VALUE"""),0.6849999999999999)</f>
        <v>0.685</v>
      </c>
      <c r="S20" s="13">
        <f>IFERROR(__xludf.DUMMYFUNCTION("""COMPUTED_VALUE"""),0.7854625)</f>
        <v>0.7854625</v>
      </c>
      <c r="T20" s="13">
        <f>IFERROR(__xludf.DUMMYFUNCTION("""COMPUTED_VALUE"""),0.7733333333333333)</f>
        <v>0.7733333333</v>
      </c>
      <c r="U20" s="13">
        <f>IFERROR(__xludf.DUMMYFUNCTION("""COMPUTED_VALUE"""),0.7484000000000001)</f>
        <v>0.7484</v>
      </c>
      <c r="V20" s="13">
        <f>IFERROR(__xludf.DUMMYFUNCTION("""COMPUTED_VALUE"""),0.5130208333333334)</f>
        <v>0.5130208333</v>
      </c>
      <c r="W20" s="13">
        <f>IFERROR(__xludf.DUMMYFUNCTION("""COMPUTED_VALUE"""),0.6794958333333333)</f>
        <v>0.6794958333</v>
      </c>
      <c r="X20" s="13">
        <f>IFERROR(__xludf.DUMMYFUNCTION("""COMPUTED_VALUE"""),0.6517916666666665)</f>
        <v>0.6517916667</v>
      </c>
      <c r="Y20" s="13">
        <f>IFERROR(__xludf.DUMMYFUNCTION("""COMPUTED_VALUE"""),0.0)</f>
        <v>0</v>
      </c>
      <c r="Z20" s="13">
        <f>IFERROR(__xludf.DUMMYFUNCTION("""COMPUTED_VALUE"""),0.0)</f>
        <v>0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ht="24.0" customHeight="1">
      <c r="A21" s="1"/>
      <c r="B21" s="17"/>
      <c r="C21" s="17"/>
      <c r="D21" s="10">
        <v>7.0</v>
      </c>
      <c r="E21" s="11" t="s">
        <v>49</v>
      </c>
      <c r="F21" s="12">
        <f>IFERROR(__xludf.DUMMYFUNCTION("importrange(""https://docs.google.com/spreadsheets/d/1cao1o_a29xkiCSTaezD5vXsiM11cvngfLDswMF4Oy6k/edit?usp=sharing"",""MECHANICAL!F95:z95"")"),25.0)</f>
        <v>25</v>
      </c>
      <c r="G21" s="12" t="str">
        <f>IFERROR(__xludf.DUMMYFUNCTION("""COMPUTED_VALUE"""),"Pending")</f>
        <v>Pending</v>
      </c>
      <c r="H21" s="12">
        <f>IFERROR(__xludf.DUMMYFUNCTION("""COMPUTED_VALUE"""),-9.0)</f>
        <v>-9</v>
      </c>
      <c r="I21" s="12">
        <f>IFERROR(__xludf.DUMMYFUNCTION("""COMPUTED_VALUE"""),262.0)</f>
        <v>262</v>
      </c>
      <c r="J21" s="12">
        <f>IFERROR(__xludf.DUMMYFUNCTION("""COMPUTED_VALUE"""),50.0)</f>
        <v>50</v>
      </c>
      <c r="K21" s="12"/>
      <c r="L21" s="13">
        <f>IFERROR(__xludf.DUMMYFUNCTION("""COMPUTED_VALUE"""),0.6555439999999999)</f>
        <v>0.655544</v>
      </c>
      <c r="M21" s="13">
        <f>IFERROR(__xludf.DUMMYFUNCTION("""COMPUTED_VALUE"""),0.7044479999999999)</f>
        <v>0.704448</v>
      </c>
      <c r="N21" s="13">
        <f>IFERROR(__xludf.DUMMYFUNCTION("""COMPUTED_VALUE"""),0.757768)</f>
        <v>0.757768</v>
      </c>
      <c r="O21" s="13">
        <f>IFERROR(__xludf.DUMMYFUNCTION("""COMPUTED_VALUE"""),0.759988)</f>
        <v>0.759988</v>
      </c>
      <c r="P21" s="13">
        <f>IFERROR(__xludf.DUMMYFUNCTION("""COMPUTED_VALUE"""),0.755548)</f>
        <v>0.755548</v>
      </c>
      <c r="Q21" s="13">
        <f>IFERROR(__xludf.DUMMYFUNCTION("""COMPUTED_VALUE"""),0.722208)</f>
        <v>0.722208</v>
      </c>
      <c r="R21" s="13">
        <f>IFERROR(__xludf.DUMMYFUNCTION("""COMPUTED_VALUE"""),0.5977640000000001)</f>
        <v>0.597764</v>
      </c>
      <c r="S21" s="13">
        <f>IFERROR(__xludf.DUMMYFUNCTION("""COMPUTED_VALUE"""),0.7999959999999998)</f>
        <v>0.799996</v>
      </c>
      <c r="T21" s="13">
        <f>IFERROR(__xludf.DUMMYFUNCTION("""COMPUTED_VALUE"""),0.7577720000000001)</f>
        <v>0.757772</v>
      </c>
      <c r="U21" s="13">
        <f>IFERROR(__xludf.DUMMYFUNCTION("""COMPUTED_VALUE"""),0.779992)</f>
        <v>0.779992</v>
      </c>
      <c r="V21" s="13">
        <f>IFERROR(__xludf.DUMMYFUNCTION("""COMPUTED_VALUE"""),0.57714)</f>
        <v>0.57714</v>
      </c>
      <c r="W21" s="13">
        <f>IFERROR(__xludf.DUMMYFUNCTION("""COMPUTED_VALUE"""),0.537776)</f>
        <v>0.537776</v>
      </c>
      <c r="X21" s="13">
        <f>IFERROR(__xludf.DUMMYFUNCTION("""COMPUTED_VALUE"""),0.33)</f>
        <v>0.33</v>
      </c>
      <c r="Y21" s="13">
        <f>IFERROR(__xludf.DUMMYFUNCTION("""COMPUTED_VALUE"""),0.0)</f>
        <v>0</v>
      </c>
      <c r="Z21" s="13">
        <f>IFERROR(__xludf.DUMMYFUNCTION("""COMPUTED_VALUE"""),0.0)</f>
        <v>0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ht="24.0" customHeight="1">
      <c r="A22" s="1"/>
      <c r="B22" s="9" t="s">
        <v>50</v>
      </c>
      <c r="C22" s="9" t="s">
        <v>50</v>
      </c>
      <c r="D22" s="10">
        <v>5.0</v>
      </c>
      <c r="E22" s="11" t="s">
        <v>51</v>
      </c>
      <c r="F22" s="12">
        <f>IFERROR(__xludf.DUMMYFUNCTION("importrange(""https://docs.google.com/spreadsheets/d/1TBhlfH3G1aulP7f8A71cMBbE4AAMtnB9sJF9t_aBchU/edit?usp=sharing"",""IT!F75:z75"")"),69.0)</f>
        <v>69</v>
      </c>
      <c r="G22" s="13" t="str">
        <f>IFERROR(__xludf.DUMMYFUNCTION("""COMPUTED_VALUE"""),"OK")</f>
        <v>OK</v>
      </c>
      <c r="H22" s="18">
        <f>IFERROR(__xludf.DUMMYFUNCTION("""COMPUTED_VALUE"""),8.0)</f>
        <v>8</v>
      </c>
      <c r="I22" s="12">
        <f>IFERROR(__xludf.DUMMYFUNCTION("""COMPUTED_VALUE"""),320.0)</f>
        <v>320</v>
      </c>
      <c r="J22" s="12">
        <f>IFERROR(__xludf.DUMMYFUNCTION("""COMPUTED_VALUE"""),0.0)</f>
        <v>0</v>
      </c>
      <c r="K22" s="12"/>
      <c r="L22" s="13">
        <f>IFERROR(__xludf.DUMMYFUNCTION("""COMPUTED_VALUE"""),0.7232478260869567)</f>
        <v>0.7232478261</v>
      </c>
      <c r="M22" s="13">
        <f>IFERROR(__xludf.DUMMYFUNCTION("""COMPUTED_VALUE"""),0.8204507246376812)</f>
        <v>0.8204507246</v>
      </c>
      <c r="N22" s="13">
        <f>IFERROR(__xludf.DUMMYFUNCTION("""COMPUTED_VALUE"""),0.8376521739130434)</f>
        <v>0.8376521739</v>
      </c>
      <c r="O22" s="13">
        <f>IFERROR(__xludf.DUMMYFUNCTION("""COMPUTED_VALUE"""),0.8798246376811596)</f>
        <v>0.8798246377</v>
      </c>
      <c r="P22" s="13">
        <f>IFERROR(__xludf.DUMMYFUNCTION("""COMPUTED_VALUE"""),0.8743318840579711)</f>
        <v>0.8743318841</v>
      </c>
      <c r="Q22" s="13">
        <f>IFERROR(__xludf.DUMMYFUNCTION("""COMPUTED_VALUE"""),0.8297420289855074)</f>
        <v>0.829742029</v>
      </c>
      <c r="R22" s="13">
        <f>IFERROR(__xludf.DUMMYFUNCTION("""COMPUTED_VALUE"""),0.8622782608695653)</f>
        <v>0.8622782609</v>
      </c>
      <c r="S22" s="13">
        <f>IFERROR(__xludf.DUMMYFUNCTION("""COMPUTED_VALUE"""),0.8267420289855071)</f>
        <v>0.826742029</v>
      </c>
      <c r="T22" s="13">
        <f>IFERROR(__xludf.DUMMYFUNCTION("""COMPUTED_VALUE"""),0.8438666666666668)</f>
        <v>0.8438666667</v>
      </c>
      <c r="U22" s="13">
        <f>IFERROR(__xludf.DUMMYFUNCTION("""COMPUTED_VALUE"""),0.8642855072463771)</f>
        <v>0.8642855072</v>
      </c>
      <c r="V22" s="13">
        <f>IFERROR(__xludf.DUMMYFUNCTION("""COMPUTED_VALUE"""),0.6324246376811594)</f>
        <v>0.6324246377</v>
      </c>
      <c r="W22" s="13">
        <f>IFERROR(__xludf.DUMMYFUNCTION("""COMPUTED_VALUE"""),0.8161985507246378)</f>
        <v>0.8161985507</v>
      </c>
      <c r="X22" s="13">
        <f>IFERROR(__xludf.DUMMYFUNCTION("""COMPUTED_VALUE"""),0.8475579710144929)</f>
        <v>0.847557971</v>
      </c>
      <c r="Y22" s="13">
        <f>IFERROR(__xludf.DUMMYFUNCTION("""COMPUTED_VALUE"""),0.0)</f>
        <v>0</v>
      </c>
      <c r="Z22" s="13">
        <f>IFERROR(__xludf.DUMMYFUNCTION("""COMPUTED_VALUE"""),0.0)</f>
        <v>0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ht="24.0" customHeight="1">
      <c r="A23" s="1"/>
      <c r="B23" s="17"/>
      <c r="C23" s="17"/>
      <c r="D23" s="10">
        <v>7.0</v>
      </c>
      <c r="E23" s="11" t="s">
        <v>52</v>
      </c>
      <c r="F23" s="12">
        <f>IFERROR(__xludf.DUMMYFUNCTION("importrange(""https://docs.google.com/spreadsheets/d/1TBhlfH3G1aulP7f8A71cMBbE4AAMtnB9sJF9t_aBchU/edit?usp=sharing"",""IT!F139:z139"")"),61.0)</f>
        <v>61</v>
      </c>
      <c r="G23" s="13" t="str">
        <f>IFERROR(__xludf.DUMMYFUNCTION("""COMPUTED_VALUE"""),"Pending")</f>
        <v>Pending</v>
      </c>
      <c r="H23" s="18">
        <f>IFERROR(__xludf.DUMMYFUNCTION("""COMPUTED_VALUE"""),-4.0)</f>
        <v>-4</v>
      </c>
      <c r="I23" s="12">
        <f>IFERROR(__xludf.DUMMYFUNCTION("""COMPUTED_VALUE"""),278.0)</f>
        <v>278</v>
      </c>
      <c r="J23" s="12">
        <f>IFERROR(__xludf.DUMMYFUNCTION("""COMPUTED_VALUE"""),34.0)</f>
        <v>34</v>
      </c>
      <c r="K23" s="12"/>
      <c r="L23" s="13">
        <f>IFERROR(__xludf.DUMMYFUNCTION("""COMPUTED_VALUE"""),0.649450819672131)</f>
        <v>0.6494508197</v>
      </c>
      <c r="M23" s="13">
        <f>IFERROR(__xludf.DUMMYFUNCTION("""COMPUTED_VALUE"""),0.7092459016393443)</f>
        <v>0.7092459016</v>
      </c>
      <c r="N23" s="13">
        <f>IFERROR(__xludf.DUMMYFUNCTION("""COMPUTED_VALUE"""),0.7631983606557377)</f>
        <v>0.7631983607</v>
      </c>
      <c r="O23" s="13">
        <f>IFERROR(__xludf.DUMMYFUNCTION("""COMPUTED_VALUE"""),0.6997819672131149)</f>
        <v>0.6997819672</v>
      </c>
      <c r="P23" s="13">
        <f>IFERROR(__xludf.DUMMYFUNCTION("""COMPUTED_VALUE"""),0.8012295081967213)</f>
        <v>0.8012295082</v>
      </c>
      <c r="Q23" s="13">
        <f>IFERROR(__xludf.DUMMYFUNCTION("""COMPUTED_VALUE"""),0.7592213114754098)</f>
        <v>0.7592213115</v>
      </c>
      <c r="R23" s="13">
        <f>IFERROR(__xludf.DUMMYFUNCTION("""COMPUTED_VALUE"""),0.8341442622950821)</f>
        <v>0.8341442623</v>
      </c>
      <c r="S23" s="13">
        <f>IFERROR(__xludf.DUMMYFUNCTION("""COMPUTED_VALUE"""),0.7200131147540983)</f>
        <v>0.7200131148</v>
      </c>
      <c r="T23" s="13">
        <f>IFERROR(__xludf.DUMMYFUNCTION("""COMPUTED_VALUE"""),0.7586065573770492)</f>
        <v>0.7586065574</v>
      </c>
      <c r="U23" s="13">
        <f>IFERROR(__xludf.DUMMYFUNCTION("""COMPUTED_VALUE"""),0.7725409836065574)</f>
        <v>0.7725409836</v>
      </c>
      <c r="V23" s="13">
        <f>IFERROR(__xludf.DUMMYFUNCTION("""COMPUTED_VALUE"""),0.5852459016393443)</f>
        <v>0.5852459016</v>
      </c>
      <c r="W23" s="13">
        <f>IFERROR(__xludf.DUMMYFUNCTION("""COMPUTED_VALUE"""),0.6342213114754098)</f>
        <v>0.6342213115</v>
      </c>
      <c r="X23" s="13">
        <f>IFERROR(__xludf.DUMMYFUNCTION("""COMPUTED_VALUE"""),0.5955721311475412)</f>
        <v>0.5955721311</v>
      </c>
      <c r="Y23" s="13">
        <f>IFERROR(__xludf.DUMMYFUNCTION("""COMPUTED_VALUE"""),0.0)</f>
        <v>0</v>
      </c>
      <c r="Z23" s="13">
        <f>IFERROR(__xludf.DUMMYFUNCTION("""COMPUTED_VALUE"""),0.0)</f>
        <v>0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ht="24.0" customHeight="1">
      <c r="A24" s="1"/>
      <c r="B24" s="1"/>
      <c r="C24" s="1"/>
      <c r="D24" s="1"/>
      <c r="E24" s="1">
        <f>COUNTA(E4:E23)</f>
        <v>18</v>
      </c>
      <c r="F24" s="1">
        <f>SUM(F4:F23)</f>
        <v>1058</v>
      </c>
      <c r="G24" s="1"/>
      <c r="H24" s="12"/>
      <c r="I24" s="12"/>
      <c r="J24" s="12"/>
      <c r="K24" s="1"/>
      <c r="L24" s="19">
        <f t="shared" ref="L24:Z24" si="1">SUM(L4:L23)/$E$24</f>
        <v>0.4917071283</v>
      </c>
      <c r="M24" s="19">
        <f t="shared" si="1"/>
        <v>0.5929506924</v>
      </c>
      <c r="N24" s="19">
        <f t="shared" si="1"/>
        <v>0.6370558305</v>
      </c>
      <c r="O24" s="19">
        <f t="shared" si="1"/>
        <v>0.6636021104</v>
      </c>
      <c r="P24" s="19">
        <f t="shared" si="1"/>
        <v>0.7113852306</v>
      </c>
      <c r="Q24" s="19">
        <f t="shared" si="1"/>
        <v>0.708674018</v>
      </c>
      <c r="R24" s="19">
        <f t="shared" si="1"/>
        <v>0.7551345119</v>
      </c>
      <c r="S24" s="19">
        <f t="shared" si="1"/>
        <v>0.7323932591</v>
      </c>
      <c r="T24" s="19">
        <f t="shared" si="1"/>
        <v>0.7611493585</v>
      </c>
      <c r="U24" s="19">
        <f t="shared" si="1"/>
        <v>0.7482912598</v>
      </c>
      <c r="V24" s="19">
        <f t="shared" si="1"/>
        <v>0.5450937893</v>
      </c>
      <c r="W24" s="19">
        <f t="shared" si="1"/>
        <v>0.6481579508</v>
      </c>
      <c r="X24" s="19">
        <f t="shared" si="1"/>
        <v>0.6465428047</v>
      </c>
      <c r="Y24" s="19">
        <f t="shared" si="1"/>
        <v>0</v>
      </c>
      <c r="Z24" s="19">
        <f t="shared" si="1"/>
        <v>0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20" t="s">
        <v>53</v>
      </c>
      <c r="L26" s="21" t="s">
        <v>54</v>
      </c>
      <c r="M26" s="2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23" t="s">
        <v>55</v>
      </c>
      <c r="L27" s="23" t="s">
        <v>56</v>
      </c>
      <c r="M27" s="2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23" t="s">
        <v>57</v>
      </c>
      <c r="L28" s="23" t="s">
        <v>58</v>
      </c>
      <c r="M28" s="2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23" t="s">
        <v>59</v>
      </c>
      <c r="L29" s="23" t="s">
        <v>60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</row>
  </sheetData>
  <mergeCells count="12">
    <mergeCell ref="B16:B18"/>
    <mergeCell ref="B19:B21"/>
    <mergeCell ref="B22:B23"/>
    <mergeCell ref="C19:C21"/>
    <mergeCell ref="C22:C23"/>
    <mergeCell ref="B4:B12"/>
    <mergeCell ref="C4:C6"/>
    <mergeCell ref="C7:C9"/>
    <mergeCell ref="C10:C12"/>
    <mergeCell ref="B13:B15"/>
    <mergeCell ref="C13:C15"/>
    <mergeCell ref="C16:C18"/>
  </mergeCells>
  <conditionalFormatting sqref="L4:Z24">
    <cfRule type="cellIs" dxfId="5" priority="1" operator="greaterThanOrEqual">
      <formula>"80.01%"</formula>
    </cfRule>
  </conditionalFormatting>
  <conditionalFormatting sqref="L4:Z24">
    <cfRule type="cellIs" dxfId="6" priority="2" operator="between">
      <formula>"40%"</formula>
      <formula>"59.99%"</formula>
    </cfRule>
  </conditionalFormatting>
  <conditionalFormatting sqref="L4:Z24">
    <cfRule type="cellIs" dxfId="7" priority="3" operator="equal">
      <formula>"80%"</formula>
    </cfRule>
  </conditionalFormatting>
  <conditionalFormatting sqref="L4:Z24">
    <cfRule type="cellIs" dxfId="8" priority="4" operator="between">
      <formula>"60%"</formula>
      <formula>"79.99%"</formula>
    </cfRule>
  </conditionalFormatting>
  <conditionalFormatting sqref="L4:Z24">
    <cfRule type="cellIs" dxfId="9" priority="5" operator="between">
      <formula>"0.01%"</formula>
      <formula>"39.99%"</formula>
    </cfRule>
  </conditionalFormatting>
  <conditionalFormatting sqref="L4:Z24">
    <cfRule type="cellIs" dxfId="10" priority="6" operator="lessThanOrEqual">
      <formula>"0%"</formula>
    </cfRule>
  </conditionalFormatting>
  <hyperlinks>
    <hyperlink r:id="rId1" ref="E4"/>
    <hyperlink r:id="rId2" ref="E5"/>
    <hyperlink r:id="rId3" ref="E6"/>
    <hyperlink r:id="rId4" ref="E7"/>
    <hyperlink r:id="rId5" ref="E10"/>
    <hyperlink r:id="rId6" ref="E11"/>
    <hyperlink r:id="rId7" ref="E12"/>
    <hyperlink r:id="rId8" ref="E13"/>
    <hyperlink r:id="rId9" ref="E14"/>
    <hyperlink r:id="rId10" ref="E15"/>
    <hyperlink r:id="rId11" ref="E16"/>
    <hyperlink r:id="rId12" ref="E17"/>
    <hyperlink r:id="rId13" ref="E18"/>
    <hyperlink r:id="rId14" ref="E19"/>
    <hyperlink r:id="rId15" ref="E20"/>
    <hyperlink r:id="rId16" ref="E21"/>
    <hyperlink r:id="rId17" ref="E22"/>
    <hyperlink r:id="rId18" ref="E23"/>
  </hyperlinks>
  <drawing r:id="rId19"/>
</worksheet>
</file>