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VIL" sheetId="1" r:id="rId5"/>
  </sheets>
  <definedNames/>
  <calcPr/>
</workbook>
</file>

<file path=xl/sharedStrings.xml><?xml version="1.0" encoding="utf-8"?>
<sst xmlns="http://schemas.openxmlformats.org/spreadsheetml/2006/main" count="275" uniqueCount="111">
  <si>
    <t>Cumulative Attendance Report - Overall</t>
  </si>
  <si>
    <t>51 - Faculty of Engineering &amp; Technology</t>
  </si>
  <si>
    <t>002 - Civil Engineering</t>
  </si>
  <si>
    <t>B.TECH. CIVIL ENGINEERING SEMESTER - 3 ATTENDANCE REPORT</t>
  </si>
  <si>
    <t>Div</t>
  </si>
  <si>
    <t>Batch</t>
  </si>
  <si>
    <t>Roll No</t>
  </si>
  <si>
    <t>Reg. No</t>
  </si>
  <si>
    <t>Enr. No.</t>
  </si>
  <si>
    <t>Student's Name</t>
  </si>
  <si>
    <t>Status</t>
  </si>
  <si>
    <t>Points Earns</t>
  </si>
  <si>
    <t xml:space="preserve">Total Hours attended </t>
  </si>
  <si>
    <t>Compensation Required in Hours</t>
  </si>
  <si>
    <t>Compensation Completed in Hours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</si>
  <si>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</si>
  <si>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</si>
  <si>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</si>
  <si>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</si>
  <si>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</si>
  <si>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</si>
  <si>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</si>
  <si>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</si>
  <si>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</si>
  <si>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</si>
  <si>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</si>
  <si>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</si>
  <si>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</si>
  <si>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</si>
  <si>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</si>
  <si>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GX</t>
  </si>
  <si>
    <t>GX1</t>
  </si>
  <si>
    <t>Bongoni Akshay</t>
  </si>
  <si>
    <t>Chandapa Khushali Dineshbhai</t>
  </si>
  <si>
    <t>Donga Prit Rameshbhai</t>
  </si>
  <si>
    <t>Fichadiya Hetanshi Jignesh</t>
  </si>
  <si>
    <t>Jadeja Dhruvrajsinh Mahendrasinh</t>
  </si>
  <si>
    <t>Khachar Bhagirath Kanubhai</t>
  </si>
  <si>
    <t>Khunti Hiral Rambhai</t>
  </si>
  <si>
    <t>Kundalani Diya Rajeshkumar</t>
  </si>
  <si>
    <t>Panara Dhananjay Rameshbhai</t>
  </si>
  <si>
    <t>Sumitkumar Prasad</t>
  </si>
  <si>
    <t>Vaghela Rudra Maheshbhai</t>
  </si>
  <si>
    <t>Lathiya Aditya Govindbhai</t>
  </si>
  <si>
    <t>Shekha Bhargav Jeshingbhai</t>
  </si>
  <si>
    <t>Bavaliya Hast Hamirbhai</t>
  </si>
  <si>
    <t>Mariya Jinal Arjanbhai</t>
  </si>
  <si>
    <t>Dengda Meet Maheshbhai</t>
  </si>
  <si>
    <t>Sisodiya Rajdeep Praveenbhai</t>
  </si>
  <si>
    <t>Lakha Somil Siddikbhai</t>
  </si>
  <si>
    <t>Gajera Naman Pravinbhai</t>
  </si>
  <si>
    <t>Joshi Manav Harshilbhai</t>
  </si>
  <si>
    <t>Solanki Madhav Maheshbhai</t>
  </si>
  <si>
    <t>Dafda Ronak Jagdishbhai</t>
  </si>
  <si>
    <t>Vadodariya Manthan Dilipbhai</t>
  </si>
  <si>
    <t>Teraiya Dhruv Manojbhai</t>
  </si>
  <si>
    <t>Solanki Yashkumar Ashokbhai</t>
  </si>
  <si>
    <t>Yash Donga</t>
  </si>
  <si>
    <t>Bharai Dip Rameshbhai</t>
  </si>
  <si>
    <t>Rathod Umang</t>
  </si>
  <si>
    <t>Goree Ishratbanu Aminbhai</t>
  </si>
  <si>
    <t>Mandora Devang Shantibhai</t>
  </si>
  <si>
    <t>Ansari Ammar Mohamadmoin</t>
  </si>
  <si>
    <t>Vardhelli Nuthan</t>
  </si>
  <si>
    <t>Kathad Dhavalbhai Arvindbhai</t>
  </si>
  <si>
    <t>Lakhani Meet Shaileshbhai</t>
  </si>
  <si>
    <t>B.TECH. CIVIL ENGINEERING SEMESTER - 5 ATTENDANCE REPORT</t>
  </si>
  <si>
    <t>Bhaliya Yash Nitinbhai</t>
  </si>
  <si>
    <t>Jagatiya Aaditya Bhaveshbhai</t>
  </si>
  <si>
    <t>Rathod Meetkumar Ashokbhai</t>
  </si>
  <si>
    <t>Rojasara Laksh Nileshbhai</t>
  </si>
  <si>
    <t>Shukla Smit Jasminbhai</t>
  </si>
  <si>
    <t>Solanki Smit Pravinbhai</t>
  </si>
  <si>
    <t>Thumar Yashvee Praful</t>
  </si>
  <si>
    <t>Chovatiya Dwarkesh Hareshbhai</t>
  </si>
  <si>
    <t>Gadhavi Raj Jitendra</t>
  </si>
  <si>
    <t>Gujarati Ajay Mansukhbhai</t>
  </si>
  <si>
    <t>Hirani Jaysan vijaybhai</t>
  </si>
  <si>
    <t>Jadiya Dhairya Pareshbhai</t>
  </si>
  <si>
    <t>Kamdar Prem Savanbhai</t>
  </si>
  <si>
    <t>Madhani Tirth Dharmeshbhai</t>
  </si>
  <si>
    <t>Makvana Sandip Dineshbhai</t>
  </si>
  <si>
    <t>Paramar Mohit Kantilal</t>
  </si>
  <si>
    <t>Sahani Yuvaraj Virendrabhai</t>
  </si>
  <si>
    <t>Soheliya Nilesh Jayantibhai</t>
  </si>
  <si>
    <t>Vala Mahi Sanjaybhai</t>
  </si>
  <si>
    <t>Vasoya Dhruvi Niteshbhai</t>
  </si>
  <si>
    <t>Yadav Rushi Ashvinbhai</t>
  </si>
  <si>
    <t>Zalavadiya Om Nareshbhai</t>
  </si>
  <si>
    <t>Katariya Priyankaben Prafulbhai</t>
  </si>
  <si>
    <t>Makadiya Priti Kantibhai</t>
  </si>
  <si>
    <t>B.TECH. CIVIL ENGINEERING SEMESTER - 7 ATTENDANCE REPORT</t>
  </si>
  <si>
    <t>Chauhan Ayush Nileshsinh</t>
  </si>
  <si>
    <t>Chavda Kuldeep Aravindbhai</t>
  </si>
  <si>
    <t>Davera Gaurav Dineshbhai</t>
  </si>
  <si>
    <t>Gajera Meet Ashwinbhai</t>
  </si>
  <si>
    <t>Geda Ravikumar Valajeebhai</t>
  </si>
  <si>
    <t>Ghaida Akshaykumar Hirjibhai</t>
  </si>
  <si>
    <t>Hirpara Rudra Dilipbhai</t>
  </si>
  <si>
    <t>Kargathiya Dhruv Romitbhai</t>
  </si>
  <si>
    <t>Om Manojbhai Viradiya</t>
  </si>
  <si>
    <t>Parmar Dhruvit Dilipbhai</t>
  </si>
  <si>
    <t>Parmar Nikhil Kiritbhai</t>
  </si>
  <si>
    <t>Parmar Parthiv Dilipbhai</t>
  </si>
  <si>
    <t>Sagpariya Jayraj Dharmeshbhai</t>
  </si>
  <si>
    <t>Sahani Vasudha Dineshbhai</t>
  </si>
  <si>
    <t>Sojitra Rudra Hiteshbhai</t>
  </si>
  <si>
    <t>Suthar Lalitkumar Mohanlal</t>
  </si>
  <si>
    <t>Tarpara Kishan Sureshbhai</t>
  </si>
  <si>
    <t>Trambadiya Shyam Girishbhai</t>
  </si>
  <si>
    <t>Vaja Parth Lalitbhai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</si>
</sst>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7">
    <font>
      <sz val="11.0"/>
      <color rgb="FF000000"/>
      <name val="Calibri"/>
      <scheme val="minor"/>
    </font>
    <font>
      <b/>
      <sz val="14.0"/>
      <color theme="1"/>
      <name val="Calibri"/>
    </font>
    <font/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rgb="FF33333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9E9E9"/>
        <bgColor rgb="FFE9E9E9"/>
      </patternFill>
    </fill>
    <fill>
      <patternFill patternType="solid">
        <fgColor rgb="FFFFFFFF"/>
        <bgColor rgb="FFFFFFFF"/>
      </patternFill>
    </fill>
  </fills>
  <borders count="17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3" numFmtId="164" xfId="0" applyAlignment="1" applyBorder="1" applyFont="1" applyNumberFormat="1">
      <alignment horizontal="center" readingOrder="0" shrinkToFit="0" vertical="center" wrapText="1"/>
    </xf>
    <xf borderId="8" fillId="2" fontId="4" numFmtId="0" xfId="0" applyAlignment="1" applyBorder="1" applyFill="1" applyFont="1">
      <alignment horizontal="center" vertical="center"/>
    </xf>
    <xf borderId="8" fillId="2" fontId="5" numFmtId="0" xfId="0" applyAlignment="1" applyBorder="1" applyFill="1" applyFont="1">
      <alignment horizontal="center" vertical="center"/>
    </xf>
    <xf borderId="8" fillId="2" fontId="5" numFmtId="0" xfId="0" applyAlignment="1" applyBorder="1" applyFill="1" applyFon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8" fillId="2" fontId="5" numFmtId="0" xfId="0" applyAlignment="1" applyBorder="1" applyFill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8" fillId="3" fontId="6" numFmtId="10" xfId="0" applyAlignment="1" applyBorder="1" applyFill="1" applyFont="1" applyNumberFormat="1">
      <alignment horizontal="center" readingOrder="0" vertical="center"/>
    </xf>
    <xf borderId="8" fillId="3" fontId="6" numFmtId="10" xfId="0" applyAlignment="1" applyBorder="1" applyFill="1" applyFont="1" applyNumberFormat="1">
      <alignment horizontal="center" readingOrder="0"/>
    </xf>
    <xf borderId="10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10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5" fillId="2" fontId="5" numFmtId="0" xfId="0" applyAlignment="1" applyBorder="1" applyFill="1" applyFont="1">
      <alignment horizontal="center" shrinkToFit="0" vertical="center" wrapText="1"/>
    </xf>
    <xf borderId="11" fillId="2" fontId="5" numFmtId="0" xfId="0" applyAlignment="1" applyBorder="1" applyFill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shrinkToFit="0" vertical="center" wrapText="1"/>
    </xf>
    <xf borderId="10" fillId="2" fontId="5" numFmtId="0" xfId="0" applyAlignment="1" applyBorder="1" applyFill="1" applyFont="1">
      <alignment horizontal="center" shrinkToFit="0" vertical="center" wrapText="1"/>
    </xf>
    <xf borderId="4" fillId="0" fontId="3" numFmtId="10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5" width="20.0"/>
    <col customWidth="1" min="6" max="6" width="40.0"/>
    <col customWidth="1" min="7" max="19" width="9.14"/>
    <col customWidth="1" min="20" max="20" width="10.29"/>
    <col customWidth="1" min="21" max="31" width="9.14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9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19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9.5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  <c r="P4" s="4"/>
      <c r="Q4" s="4"/>
      <c r="R4" s="4"/>
      <c r="S4" s="4"/>
      <c r="T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>
        <v>1.0</v>
      </c>
      <c r="M5" s="11">
        <v>1.0</v>
      </c>
      <c r="N5" s="11">
        <v>1.0</v>
      </c>
      <c r="O5" s="11">
        <v>1.0</v>
      </c>
      <c r="P5" s="11">
        <v>1.0</v>
      </c>
      <c r="Q5" s="11">
        <v>1.0</v>
      </c>
      <c r="R5" s="11">
        <v>1.0</v>
      </c>
      <c r="S5" s="11">
        <v>1.0</v>
      </c>
      <c r="T5" s="12">
        <v>1.0</v>
      </c>
      <c r="U5" s="12">
        <v>1.0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3"/>
      <c r="AB5" s="14"/>
      <c r="AC5" s="14"/>
      <c r="AD5" s="14"/>
      <c r="AE5" s="14"/>
    </row>
    <row r="6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6" t="s">
        <v>10</v>
      </c>
      <c r="H6" s="17" t="s">
        <v>11</v>
      </c>
      <c r="I6" s="17" t="s">
        <v>12</v>
      </c>
      <c r="J6" s="17" t="s">
        <v>13</v>
      </c>
      <c r="K6" s="17" t="s">
        <v>14</v>
      </c>
      <c r="L6" s="11" t="s">
        <v>15</v>
      </c>
      <c r="M6" s="11" t="s">
        <v>16</v>
      </c>
      <c r="N6" s="11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1" t="s">
        <v>22</v>
      </c>
      <c r="T6" s="11" t="s">
        <v>23</v>
      </c>
      <c r="U6" s="11" t="s">
        <v>24</v>
      </c>
      <c r="V6" s="11" t="s">
        <v>25</v>
      </c>
      <c r="W6" s="11" t="s">
        <v>26</v>
      </c>
      <c r="X6" s="11" t="s">
        <v>27</v>
      </c>
      <c r="Y6" s="11" t="s">
        <v>28</v>
      </c>
      <c r="Z6" s="11" t="s">
        <v>29</v>
      </c>
      <c r="AA6" s="13"/>
      <c r="AB6" s="14"/>
      <c r="AC6" s="14"/>
      <c r="AD6" s="14"/>
      <c r="AE6" s="14"/>
    </row>
    <row r="7">
      <c r="A7" s="18" t="s">
        <v>30</v>
      </c>
      <c r="B7" s="19" t="s">
        <v>31</v>
      </c>
      <c r="C7" s="19">
        <v>1.0</v>
      </c>
      <c r="D7" s="19">
        <v>1.5110525028E10</v>
      </c>
      <c r="E7" s="19">
        <v>2.50001001E8</v>
      </c>
      <c r="F7" s="19" t="s">
        <v>32</v>
      </c>
      <c r="G7" s="20" t="str">
        <f t="shared" ref="G7:G41" si="1">IF(H7&gt;=0,"OK",IF(K7&gt;=J7,"Completed","Pending"))</f>
        <v>Pending</v>
      </c>
      <c r="H7" s="20">
        <f t="shared" ref="H7:H41" si="2">round((((((L7*100)*$L$5)+((M7*100)*$M$5)+((N7*100)*$N$5)+((O7*100)*$O$5)+((P7*100)*$P$5)+((Q7*100)*$Q$5)+((R7*100)*$R$5)+((S7*100)*$S$5)+((T7*100)*$T$5)+((U7*100)*$U$5)+((V7*100)*$V$5)+((W7*100)*$W$5)+((X7*100)*$X$5)+((Y7*100)*$Y$5)+((Z7*100)*$Z$5)++((W7*100)*$W$5)+((AA7*100)*$AA$5))/($L$5+$M$5+$N$5+$O$5+$P$5+$Q$5+$R$5+$S$5+$T$5+$V$5+$U$5+$W$5+$X$5+$Y$5+$Z$5+$AA$5))-80),0)</f>
        <v>-21</v>
      </c>
      <c r="I7" s="20">
        <f t="shared" ref="I7:I41" si="3">round(30*((L7*$L$5)+(M7*$M$5)+(N7*$N$5)+(O7*$O$5)+(P7*$P$5)+(Q7*$Q$5)+(R7*$R$5)+(S7*$S$5)+(T7*$T$5)+(U7*$U$5)+(V7*$V$5)+(W7*$W$5)+(X7*$X$5)+(Y7*$Y$5)+(Z7*$Z$5)+(AA7*$AA$5)),0)</f>
        <v>177</v>
      </c>
      <c r="J7" s="20">
        <f t="shared" ref="J7:J41" si="4">if(I7&lt;(24*($L$5+$M$5+$N$5+$O$5+$P$5+$Q$5+$R$5+$S$5+$T$5+$V$5+$U$5+$W$5+$X$5+$Y$5+$Z$5+$AA$5)),abs(I7-(24*($L$5+$M$5+$N$5+$O$5+$P$5+$Q$5+$R$5+$S$5+$T$5+$V$5+$U$5+$W$5+$X$5+$Y$5+$Z$5+$AA$5))),0)</f>
        <v>63</v>
      </c>
      <c r="K7" s="20"/>
      <c r="L7" s="21">
        <v>0.0</v>
      </c>
      <c r="M7" s="21">
        <v>0.0</v>
      </c>
      <c r="N7" s="21">
        <v>0.0</v>
      </c>
      <c r="O7" s="21">
        <v>0.8182</v>
      </c>
      <c r="P7" s="21">
        <v>0.9091</v>
      </c>
      <c r="Q7" s="21">
        <v>1.0</v>
      </c>
      <c r="R7" s="21">
        <v>0.7826</v>
      </c>
      <c r="S7" s="21">
        <v>0.88</v>
      </c>
      <c r="T7" s="22">
        <v>0.6818</v>
      </c>
      <c r="U7" s="22">
        <v>0.8182</v>
      </c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8" t="s">
        <v>30</v>
      </c>
      <c r="B8" s="19" t="s">
        <v>31</v>
      </c>
      <c r="C8" s="19">
        <v>2.0</v>
      </c>
      <c r="D8" s="19">
        <v>1.5110525012E10</v>
      </c>
      <c r="E8" s="19">
        <v>2.50001002E8</v>
      </c>
      <c r="F8" s="19" t="s">
        <v>33</v>
      </c>
      <c r="G8" s="20" t="str">
        <f t="shared" si="1"/>
        <v>OK</v>
      </c>
      <c r="H8" s="20">
        <f t="shared" si="2"/>
        <v>14</v>
      </c>
      <c r="I8" s="20">
        <f t="shared" si="3"/>
        <v>281</v>
      </c>
      <c r="J8" s="20">
        <f t="shared" si="4"/>
        <v>0</v>
      </c>
      <c r="K8" s="23"/>
      <c r="L8" s="21">
        <v>0.6364</v>
      </c>
      <c r="M8" s="21">
        <v>1.0</v>
      </c>
      <c r="N8" s="21">
        <v>0.9545</v>
      </c>
      <c r="O8" s="21">
        <v>1.0</v>
      </c>
      <c r="P8" s="21">
        <v>0.9091</v>
      </c>
      <c r="Q8" s="21">
        <v>0.9545</v>
      </c>
      <c r="R8" s="21">
        <v>1.0</v>
      </c>
      <c r="S8" s="21">
        <v>0.92</v>
      </c>
      <c r="T8" s="22">
        <v>1.0</v>
      </c>
      <c r="U8" s="22">
        <v>1.0</v>
      </c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8" t="s">
        <v>30</v>
      </c>
      <c r="B9" s="19" t="s">
        <v>31</v>
      </c>
      <c r="C9" s="19">
        <v>3.0</v>
      </c>
      <c r="D9" s="19">
        <v>1.5110525021E10</v>
      </c>
      <c r="E9" s="19">
        <v>2.50001003E8</v>
      </c>
      <c r="F9" s="19" t="s">
        <v>34</v>
      </c>
      <c r="G9" s="20" t="str">
        <f t="shared" si="1"/>
        <v>Pending</v>
      </c>
      <c r="H9" s="20">
        <f t="shared" si="2"/>
        <v>-78</v>
      </c>
      <c r="I9" s="20">
        <f t="shared" si="3"/>
        <v>7</v>
      </c>
      <c r="J9" s="20">
        <f t="shared" si="4"/>
        <v>233</v>
      </c>
      <c r="K9" s="23"/>
      <c r="L9" s="21">
        <v>0.0</v>
      </c>
      <c r="M9" s="21">
        <v>0.0</v>
      </c>
      <c r="N9" s="21">
        <v>0.0</v>
      </c>
      <c r="O9" s="21">
        <v>0.0455</v>
      </c>
      <c r="P9" s="21">
        <v>0.0</v>
      </c>
      <c r="Q9" s="21">
        <v>0.0</v>
      </c>
      <c r="R9" s="21">
        <v>0.087</v>
      </c>
      <c r="S9" s="21">
        <v>0.04</v>
      </c>
      <c r="T9" s="22">
        <v>0.0</v>
      </c>
      <c r="U9" s="22">
        <v>0.0455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8" t="s">
        <v>30</v>
      </c>
      <c r="B10" s="19" t="s">
        <v>31</v>
      </c>
      <c r="C10" s="19">
        <v>4.0</v>
      </c>
      <c r="D10" s="19">
        <v>1.5110525004E10</v>
      </c>
      <c r="E10" s="19">
        <v>2.50001004E8</v>
      </c>
      <c r="F10" s="19" t="s">
        <v>35</v>
      </c>
      <c r="G10" s="20" t="str">
        <f t="shared" si="1"/>
        <v>OK</v>
      </c>
      <c r="H10" s="20">
        <f t="shared" si="2"/>
        <v>14</v>
      </c>
      <c r="I10" s="20">
        <f t="shared" si="3"/>
        <v>281</v>
      </c>
      <c r="J10" s="20">
        <f t="shared" si="4"/>
        <v>0</v>
      </c>
      <c r="K10" s="23"/>
      <c r="L10" s="21">
        <v>1.0</v>
      </c>
      <c r="M10" s="21">
        <v>1.0</v>
      </c>
      <c r="N10" s="21">
        <v>1.0</v>
      </c>
      <c r="O10" s="21">
        <v>0.7727</v>
      </c>
      <c r="P10" s="21">
        <v>0.7727</v>
      </c>
      <c r="Q10" s="21">
        <v>0.8182</v>
      </c>
      <c r="R10" s="21">
        <v>1.0</v>
      </c>
      <c r="S10" s="21">
        <v>1.0</v>
      </c>
      <c r="T10" s="22">
        <v>1.0</v>
      </c>
      <c r="U10" s="22">
        <v>1.0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8" t="s">
        <v>30</v>
      </c>
      <c r="B11" s="19" t="s">
        <v>31</v>
      </c>
      <c r="C11" s="19">
        <v>5.0</v>
      </c>
      <c r="D11" s="19">
        <v>1.5110525017E10</v>
      </c>
      <c r="E11" s="19">
        <v>2.50001006E8</v>
      </c>
      <c r="F11" s="19" t="s">
        <v>36</v>
      </c>
      <c r="G11" s="20" t="str">
        <f t="shared" si="1"/>
        <v>OK</v>
      </c>
      <c r="H11" s="20">
        <f t="shared" si="2"/>
        <v>1</v>
      </c>
      <c r="I11" s="20">
        <f t="shared" si="3"/>
        <v>244</v>
      </c>
      <c r="J11" s="20">
        <f t="shared" si="4"/>
        <v>0</v>
      </c>
      <c r="K11" s="23"/>
      <c r="L11" s="21">
        <v>0.1364</v>
      </c>
      <c r="M11" s="21">
        <v>0.8889</v>
      </c>
      <c r="N11" s="21">
        <v>0.9545</v>
      </c>
      <c r="O11" s="21">
        <v>0.7727</v>
      </c>
      <c r="P11" s="21">
        <v>0.9545</v>
      </c>
      <c r="Q11" s="21">
        <v>0.6364</v>
      </c>
      <c r="R11" s="21">
        <v>1.0</v>
      </c>
      <c r="S11" s="21">
        <v>0.92</v>
      </c>
      <c r="T11" s="22">
        <v>1.0</v>
      </c>
      <c r="U11" s="22">
        <v>0.8636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8" t="s">
        <v>30</v>
      </c>
      <c r="B12" s="19" t="s">
        <v>31</v>
      </c>
      <c r="C12" s="19">
        <v>6.0</v>
      </c>
      <c r="D12" s="19">
        <v>1.5110525026E10</v>
      </c>
      <c r="E12" s="19">
        <v>2.50001007E8</v>
      </c>
      <c r="F12" s="19" t="s">
        <v>37</v>
      </c>
      <c r="G12" s="20" t="str">
        <f t="shared" si="1"/>
        <v>Pending</v>
      </c>
      <c r="H12" s="20">
        <f t="shared" si="2"/>
        <v>-12</v>
      </c>
      <c r="I12" s="20">
        <f t="shared" si="3"/>
        <v>204</v>
      </c>
      <c r="J12" s="20">
        <f t="shared" si="4"/>
        <v>36</v>
      </c>
      <c r="K12" s="23"/>
      <c r="L12" s="21">
        <v>0.5909</v>
      </c>
      <c r="M12" s="21">
        <v>0.7222</v>
      </c>
      <c r="N12" s="21">
        <v>0.9091</v>
      </c>
      <c r="O12" s="21">
        <v>0.7273</v>
      </c>
      <c r="P12" s="21">
        <v>0.9091</v>
      </c>
      <c r="Q12" s="21">
        <v>0.6364</v>
      </c>
      <c r="R12" s="21">
        <v>0.5217</v>
      </c>
      <c r="S12" s="21">
        <v>0.52</v>
      </c>
      <c r="T12" s="22">
        <v>0.4545</v>
      </c>
      <c r="U12" s="22">
        <v>0.8182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8" t="s">
        <v>30</v>
      </c>
      <c r="B13" s="19" t="s">
        <v>31</v>
      </c>
      <c r="C13" s="19">
        <v>7.0</v>
      </c>
      <c r="D13" s="19">
        <v>1.511052503E10</v>
      </c>
      <c r="E13" s="19">
        <v>2.50001008E8</v>
      </c>
      <c r="F13" s="19" t="s">
        <v>38</v>
      </c>
      <c r="G13" s="20" t="str">
        <f t="shared" si="1"/>
        <v>OK</v>
      </c>
      <c r="H13" s="20">
        <f t="shared" si="2"/>
        <v>10</v>
      </c>
      <c r="I13" s="20">
        <f t="shared" si="3"/>
        <v>270</v>
      </c>
      <c r="J13" s="20">
        <f t="shared" si="4"/>
        <v>0</v>
      </c>
      <c r="K13" s="23"/>
      <c r="L13" s="21">
        <v>0.0455</v>
      </c>
      <c r="M13" s="21">
        <v>1.0</v>
      </c>
      <c r="N13" s="21">
        <v>1.0</v>
      </c>
      <c r="O13" s="21">
        <v>1.0</v>
      </c>
      <c r="P13" s="21">
        <v>1.0</v>
      </c>
      <c r="Q13" s="21">
        <v>0.9545</v>
      </c>
      <c r="R13" s="21">
        <v>1.0</v>
      </c>
      <c r="S13" s="21">
        <v>1.0</v>
      </c>
      <c r="T13" s="22">
        <v>1.0</v>
      </c>
      <c r="U13" s="22">
        <v>1.0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8" t="s">
        <v>30</v>
      </c>
      <c r="B14" s="19" t="s">
        <v>31</v>
      </c>
      <c r="C14" s="19">
        <v>8.0</v>
      </c>
      <c r="D14" s="19">
        <v>1.5110525014E10</v>
      </c>
      <c r="E14" s="19">
        <v>2.5000101E8</v>
      </c>
      <c r="F14" s="19" t="s">
        <v>39</v>
      </c>
      <c r="G14" s="20" t="str">
        <f t="shared" si="1"/>
        <v>OK</v>
      </c>
      <c r="H14" s="20">
        <f t="shared" si="2"/>
        <v>6</v>
      </c>
      <c r="I14" s="20">
        <f t="shared" si="3"/>
        <v>258</v>
      </c>
      <c r="J14" s="20">
        <f t="shared" si="4"/>
        <v>0</v>
      </c>
      <c r="K14" s="23"/>
      <c r="L14" s="21">
        <v>1.0</v>
      </c>
      <c r="M14" s="21">
        <v>1.0</v>
      </c>
      <c r="N14" s="21">
        <v>0.7273</v>
      </c>
      <c r="O14" s="21">
        <v>1.0</v>
      </c>
      <c r="P14" s="21">
        <v>0.6818</v>
      </c>
      <c r="Q14" s="21">
        <v>0.8182</v>
      </c>
      <c r="R14" s="21">
        <v>0.9565</v>
      </c>
      <c r="S14" s="21">
        <v>0.4</v>
      </c>
      <c r="T14" s="22">
        <v>1.0</v>
      </c>
      <c r="U14" s="22">
        <v>1.0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8" t="s">
        <v>30</v>
      </c>
      <c r="B15" s="19" t="s">
        <v>31</v>
      </c>
      <c r="C15" s="19">
        <v>9.0</v>
      </c>
      <c r="D15" s="19">
        <v>1.511052502E10</v>
      </c>
      <c r="E15" s="19">
        <v>2.50001011E8</v>
      </c>
      <c r="F15" s="19" t="s">
        <v>40</v>
      </c>
      <c r="G15" s="20" t="str">
        <f t="shared" si="1"/>
        <v>Pending</v>
      </c>
      <c r="H15" s="20">
        <f t="shared" si="2"/>
        <v>-1</v>
      </c>
      <c r="I15" s="20">
        <f t="shared" si="3"/>
        <v>238</v>
      </c>
      <c r="J15" s="20">
        <f t="shared" si="4"/>
        <v>2</v>
      </c>
      <c r="K15" s="23"/>
      <c r="L15" s="21">
        <v>0.9091</v>
      </c>
      <c r="M15" s="21">
        <v>0.3889</v>
      </c>
      <c r="N15" s="21">
        <v>0.7273</v>
      </c>
      <c r="O15" s="21">
        <v>0.8182</v>
      </c>
      <c r="P15" s="21">
        <v>1.0</v>
      </c>
      <c r="Q15" s="21">
        <v>0.6818</v>
      </c>
      <c r="R15" s="21">
        <v>0.7826</v>
      </c>
      <c r="S15" s="21">
        <v>0.84</v>
      </c>
      <c r="T15" s="22">
        <v>1.0</v>
      </c>
      <c r="U15" s="22">
        <v>0.7727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8" t="s">
        <v>30</v>
      </c>
      <c r="B16" s="19" t="s">
        <v>31</v>
      </c>
      <c r="C16" s="19">
        <v>10.0</v>
      </c>
      <c r="D16" s="19">
        <v>1.5110525018E10</v>
      </c>
      <c r="E16" s="19">
        <v>2.50001014E8</v>
      </c>
      <c r="F16" s="19" t="s">
        <v>41</v>
      </c>
      <c r="G16" s="20" t="str">
        <f t="shared" si="1"/>
        <v>OK</v>
      </c>
      <c r="H16" s="20">
        <f t="shared" si="2"/>
        <v>15</v>
      </c>
      <c r="I16" s="20">
        <f t="shared" si="3"/>
        <v>284</v>
      </c>
      <c r="J16" s="20">
        <f t="shared" si="4"/>
        <v>0</v>
      </c>
      <c r="K16" s="23"/>
      <c r="L16" s="21">
        <v>0.9545</v>
      </c>
      <c r="M16" s="21">
        <v>0.9444</v>
      </c>
      <c r="N16" s="21">
        <v>0.9545</v>
      </c>
      <c r="O16" s="21">
        <v>0.9545</v>
      </c>
      <c r="P16" s="21">
        <v>1.0</v>
      </c>
      <c r="Q16" s="21">
        <v>0.9091</v>
      </c>
      <c r="R16" s="21">
        <v>0.9565</v>
      </c>
      <c r="S16" s="21">
        <v>0.84</v>
      </c>
      <c r="T16" s="22">
        <v>1.0</v>
      </c>
      <c r="U16" s="22">
        <v>0.9545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8" t="s">
        <v>30</v>
      </c>
      <c r="B17" s="19" t="s">
        <v>31</v>
      </c>
      <c r="C17" s="19">
        <v>11.0</v>
      </c>
      <c r="D17" s="19">
        <v>1.5110525013E10</v>
      </c>
      <c r="E17" s="19">
        <v>2.50001015E8</v>
      </c>
      <c r="F17" s="19" t="s">
        <v>42</v>
      </c>
      <c r="G17" s="20" t="str">
        <f t="shared" si="1"/>
        <v>OK</v>
      </c>
      <c r="H17" s="20">
        <f t="shared" si="2"/>
        <v>11</v>
      </c>
      <c r="I17" s="20">
        <f t="shared" si="3"/>
        <v>273</v>
      </c>
      <c r="J17" s="20">
        <f t="shared" si="4"/>
        <v>0</v>
      </c>
      <c r="K17" s="23"/>
      <c r="L17" s="21">
        <v>0.9545</v>
      </c>
      <c r="M17" s="21">
        <v>1.0</v>
      </c>
      <c r="N17" s="21">
        <v>0.8636</v>
      </c>
      <c r="O17" s="21">
        <v>1.0</v>
      </c>
      <c r="P17" s="21">
        <v>0.9545</v>
      </c>
      <c r="Q17" s="21">
        <v>0.8182</v>
      </c>
      <c r="R17" s="21">
        <v>0.8261</v>
      </c>
      <c r="S17" s="21">
        <v>0.96</v>
      </c>
      <c r="T17" s="22">
        <v>0.8636</v>
      </c>
      <c r="U17" s="22">
        <v>0.8636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8" t="s">
        <v>30</v>
      </c>
      <c r="B18" s="19" t="s">
        <v>31</v>
      </c>
      <c r="C18" s="19">
        <v>12.0</v>
      </c>
      <c r="D18" s="19">
        <v>1.5110526002E10</v>
      </c>
      <c r="E18" s="23"/>
      <c r="F18" s="19" t="s">
        <v>43</v>
      </c>
      <c r="G18" s="20" t="str">
        <f t="shared" si="1"/>
        <v>OK</v>
      </c>
      <c r="H18" s="20">
        <f t="shared" si="2"/>
        <v>17</v>
      </c>
      <c r="I18" s="20">
        <f t="shared" si="3"/>
        <v>290</v>
      </c>
      <c r="J18" s="20">
        <f t="shared" si="4"/>
        <v>0</v>
      </c>
      <c r="K18" s="23"/>
      <c r="L18" s="21">
        <v>1.0</v>
      </c>
      <c r="M18" s="21">
        <v>1.0</v>
      </c>
      <c r="N18" s="21">
        <v>0.9545</v>
      </c>
      <c r="O18" s="21">
        <v>0.9545</v>
      </c>
      <c r="P18" s="21">
        <v>0.7727</v>
      </c>
      <c r="Q18" s="21">
        <v>1.0</v>
      </c>
      <c r="R18" s="21">
        <v>1.0</v>
      </c>
      <c r="S18" s="21">
        <v>1.0</v>
      </c>
      <c r="T18" s="22">
        <v>1.0</v>
      </c>
      <c r="U18" s="22">
        <v>1.0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8" t="s">
        <v>30</v>
      </c>
      <c r="B19" s="19" t="s">
        <v>31</v>
      </c>
      <c r="C19" s="19">
        <v>13.0</v>
      </c>
      <c r="D19" s="19">
        <v>1.5110526012E10</v>
      </c>
      <c r="E19" s="23"/>
      <c r="F19" s="19" t="s">
        <v>44</v>
      </c>
      <c r="G19" s="20" t="str">
        <f t="shared" si="1"/>
        <v>OK</v>
      </c>
      <c r="H19" s="20">
        <f t="shared" si="2"/>
        <v>2</v>
      </c>
      <c r="I19" s="20">
        <f t="shared" si="3"/>
        <v>247</v>
      </c>
      <c r="J19" s="20">
        <f t="shared" si="4"/>
        <v>0</v>
      </c>
      <c r="K19" s="23"/>
      <c r="L19" s="21">
        <v>0.4545</v>
      </c>
      <c r="M19" s="21">
        <v>0.5</v>
      </c>
      <c r="N19" s="21">
        <v>0.8636</v>
      </c>
      <c r="O19" s="21">
        <v>0.9091</v>
      </c>
      <c r="P19" s="21">
        <v>0.8636</v>
      </c>
      <c r="Q19" s="21">
        <v>0.9091</v>
      </c>
      <c r="R19" s="21">
        <v>0.9565</v>
      </c>
      <c r="S19" s="21">
        <v>0.96</v>
      </c>
      <c r="T19" s="22">
        <v>1.0</v>
      </c>
      <c r="U19" s="22">
        <v>0.8182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8" t="s">
        <v>30</v>
      </c>
      <c r="B20" s="19" t="s">
        <v>31</v>
      </c>
      <c r="C20" s="19">
        <v>14.0</v>
      </c>
      <c r="D20" s="19">
        <v>1.5110526005E10</v>
      </c>
      <c r="E20" s="23"/>
      <c r="F20" s="19" t="s">
        <v>45</v>
      </c>
      <c r="G20" s="20" t="str">
        <f t="shared" si="1"/>
        <v>OK</v>
      </c>
      <c r="H20" s="20">
        <f t="shared" si="2"/>
        <v>8</v>
      </c>
      <c r="I20" s="20">
        <f t="shared" si="3"/>
        <v>265</v>
      </c>
      <c r="J20" s="20">
        <f t="shared" si="4"/>
        <v>0</v>
      </c>
      <c r="K20" s="23"/>
      <c r="L20" s="21">
        <v>0.8182</v>
      </c>
      <c r="M20" s="21">
        <v>0.9444</v>
      </c>
      <c r="N20" s="21">
        <v>0.9545</v>
      </c>
      <c r="O20" s="21">
        <v>0.9545</v>
      </c>
      <c r="P20" s="21">
        <v>0.9091</v>
      </c>
      <c r="Q20" s="21">
        <v>0.8182</v>
      </c>
      <c r="R20" s="21">
        <v>0.8261</v>
      </c>
      <c r="S20" s="21">
        <v>0.76</v>
      </c>
      <c r="T20" s="22">
        <v>1.0</v>
      </c>
      <c r="U20" s="22">
        <v>0.8636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8" t="s">
        <v>30</v>
      </c>
      <c r="B21" s="19" t="s">
        <v>31</v>
      </c>
      <c r="C21" s="19">
        <v>15.0</v>
      </c>
      <c r="D21" s="19">
        <v>1.5110526006E10</v>
      </c>
      <c r="E21" s="23"/>
      <c r="F21" s="19" t="s">
        <v>46</v>
      </c>
      <c r="G21" s="20" t="str">
        <f t="shared" si="1"/>
        <v>Pending</v>
      </c>
      <c r="H21" s="20">
        <f t="shared" si="2"/>
        <v>-1</v>
      </c>
      <c r="I21" s="20">
        <f t="shared" si="3"/>
        <v>237</v>
      </c>
      <c r="J21" s="20">
        <f t="shared" si="4"/>
        <v>3</v>
      </c>
      <c r="K21" s="23"/>
      <c r="L21" s="21">
        <v>0.0</v>
      </c>
      <c r="M21" s="21">
        <v>0.6111</v>
      </c>
      <c r="N21" s="21">
        <v>1.0</v>
      </c>
      <c r="O21" s="21">
        <v>0.7273</v>
      </c>
      <c r="P21" s="21">
        <v>0.7727</v>
      </c>
      <c r="Q21" s="21">
        <v>0.9545</v>
      </c>
      <c r="R21" s="21">
        <v>0.9565</v>
      </c>
      <c r="S21" s="21">
        <v>0.88</v>
      </c>
      <c r="T21" s="22">
        <v>1.0</v>
      </c>
      <c r="U21" s="22">
        <v>1.0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15.75" customHeight="1">
      <c r="A22" s="18" t="s">
        <v>30</v>
      </c>
      <c r="B22" s="19" t="s">
        <v>31</v>
      </c>
      <c r="C22" s="19">
        <v>16.0</v>
      </c>
      <c r="D22" s="19">
        <v>1.5110526001E10</v>
      </c>
      <c r="E22" s="23"/>
      <c r="F22" s="19" t="s">
        <v>47</v>
      </c>
      <c r="G22" s="20" t="str">
        <f t="shared" si="1"/>
        <v>Pending</v>
      </c>
      <c r="H22" s="20">
        <f t="shared" si="2"/>
        <v>-6</v>
      </c>
      <c r="I22" s="20">
        <f t="shared" si="3"/>
        <v>221</v>
      </c>
      <c r="J22" s="20">
        <f t="shared" si="4"/>
        <v>19</v>
      </c>
      <c r="K22" s="23"/>
      <c r="L22" s="21">
        <v>0.5</v>
      </c>
      <c r="M22" s="21">
        <v>0.2778</v>
      </c>
      <c r="N22" s="21">
        <v>0.8182</v>
      </c>
      <c r="O22" s="21">
        <v>0.8182</v>
      </c>
      <c r="P22" s="21">
        <v>0.6818</v>
      </c>
      <c r="Q22" s="21">
        <v>0.6364</v>
      </c>
      <c r="R22" s="21">
        <v>0.9565</v>
      </c>
      <c r="S22" s="21">
        <v>0.8</v>
      </c>
      <c r="T22" s="22">
        <v>0.9545</v>
      </c>
      <c r="U22" s="22">
        <v>0.9091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15.75" customHeight="1">
      <c r="A23" s="18" t="s">
        <v>30</v>
      </c>
      <c r="B23" s="19" t="s">
        <v>31</v>
      </c>
      <c r="C23" s="19">
        <v>17.0</v>
      </c>
      <c r="D23" s="19">
        <v>1.5110526014E10</v>
      </c>
      <c r="E23" s="23"/>
      <c r="F23" s="19" t="s">
        <v>48</v>
      </c>
      <c r="G23" s="20" t="str">
        <f t="shared" si="1"/>
        <v>Pending</v>
      </c>
      <c r="H23" s="20">
        <f t="shared" si="2"/>
        <v>-33</v>
      </c>
      <c r="I23" s="20">
        <f t="shared" si="3"/>
        <v>140</v>
      </c>
      <c r="J23" s="20">
        <f t="shared" si="4"/>
        <v>100</v>
      </c>
      <c r="K23" s="23"/>
      <c r="L23" s="21">
        <v>0.4091</v>
      </c>
      <c r="M23" s="21">
        <v>0.6111</v>
      </c>
      <c r="N23" s="21">
        <v>0.6364</v>
      </c>
      <c r="O23" s="21">
        <v>0.7273</v>
      </c>
      <c r="P23" s="21">
        <v>0.8636</v>
      </c>
      <c r="Q23" s="21">
        <v>0.2727</v>
      </c>
      <c r="R23" s="21">
        <v>0.4783</v>
      </c>
      <c r="S23" s="21">
        <v>0.48</v>
      </c>
      <c r="T23" s="22">
        <v>0.0909</v>
      </c>
      <c r="U23" s="22">
        <v>0.0909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15.75" customHeight="1">
      <c r="A24" s="18" t="s">
        <v>30</v>
      </c>
      <c r="B24" s="19" t="s">
        <v>31</v>
      </c>
      <c r="C24" s="19">
        <v>18.0</v>
      </c>
      <c r="D24" s="19">
        <v>1.5110526003E10</v>
      </c>
      <c r="E24" s="23"/>
      <c r="F24" s="19" t="s">
        <v>49</v>
      </c>
      <c r="G24" s="20" t="str">
        <f t="shared" si="1"/>
        <v>Pending</v>
      </c>
      <c r="H24" s="20">
        <f t="shared" si="2"/>
        <v>-10</v>
      </c>
      <c r="I24" s="20">
        <f t="shared" si="3"/>
        <v>210</v>
      </c>
      <c r="J24" s="20">
        <f t="shared" si="4"/>
        <v>30</v>
      </c>
      <c r="K24" s="23"/>
      <c r="L24" s="21">
        <v>0.2273</v>
      </c>
      <c r="M24" s="21">
        <v>0.8889</v>
      </c>
      <c r="N24" s="21">
        <v>0.0</v>
      </c>
      <c r="O24" s="21">
        <v>0.9545</v>
      </c>
      <c r="P24" s="21">
        <v>0.9545</v>
      </c>
      <c r="Q24" s="21">
        <v>0.8182</v>
      </c>
      <c r="R24" s="21">
        <v>0.5217</v>
      </c>
      <c r="S24" s="21">
        <v>0.92</v>
      </c>
      <c r="T24" s="22">
        <v>0.8182</v>
      </c>
      <c r="U24" s="22">
        <v>0.9091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15.75" customHeight="1">
      <c r="A25" s="18" t="s">
        <v>30</v>
      </c>
      <c r="B25" s="19" t="s">
        <v>31</v>
      </c>
      <c r="C25" s="19">
        <v>19.0</v>
      </c>
      <c r="D25" s="19">
        <v>1.5110526015E10</v>
      </c>
      <c r="E25" s="23"/>
      <c r="F25" s="19" t="s">
        <v>50</v>
      </c>
      <c r="G25" s="20" t="str">
        <f t="shared" si="1"/>
        <v>Pending</v>
      </c>
      <c r="H25" s="20">
        <f t="shared" si="2"/>
        <v>-11</v>
      </c>
      <c r="I25" s="20">
        <f t="shared" si="3"/>
        <v>207</v>
      </c>
      <c r="J25" s="20">
        <f t="shared" si="4"/>
        <v>33</v>
      </c>
      <c r="K25" s="23"/>
      <c r="L25" s="21">
        <v>0.5</v>
      </c>
      <c r="M25" s="21">
        <v>0.6667</v>
      </c>
      <c r="N25" s="21">
        <v>0.6818</v>
      </c>
      <c r="O25" s="21">
        <v>0.8182</v>
      </c>
      <c r="P25" s="21">
        <v>0.7727</v>
      </c>
      <c r="Q25" s="21">
        <v>0.9545</v>
      </c>
      <c r="R25" s="21">
        <v>0.7391</v>
      </c>
      <c r="S25" s="21">
        <v>0.4</v>
      </c>
      <c r="T25" s="22">
        <v>0.7727</v>
      </c>
      <c r="U25" s="22">
        <v>0.5909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15.75" customHeight="1">
      <c r="A26" s="18" t="s">
        <v>30</v>
      </c>
      <c r="B26" s="19" t="s">
        <v>31</v>
      </c>
      <c r="C26" s="19">
        <v>20.0</v>
      </c>
      <c r="D26" s="19">
        <v>1.5110526016E10</v>
      </c>
      <c r="E26" s="23"/>
      <c r="F26" s="19" t="s">
        <v>51</v>
      </c>
      <c r="G26" s="20" t="str">
        <f t="shared" si="1"/>
        <v>Pending</v>
      </c>
      <c r="H26" s="20">
        <f t="shared" si="2"/>
        <v>-19</v>
      </c>
      <c r="I26" s="20">
        <f t="shared" si="3"/>
        <v>183</v>
      </c>
      <c r="J26" s="20">
        <f t="shared" si="4"/>
        <v>57</v>
      </c>
      <c r="K26" s="23"/>
      <c r="L26" s="21">
        <v>0.0</v>
      </c>
      <c r="M26" s="21">
        <v>0.0</v>
      </c>
      <c r="N26" s="21">
        <v>0.0</v>
      </c>
      <c r="O26" s="21">
        <v>1.0</v>
      </c>
      <c r="P26" s="21">
        <v>0.6364</v>
      </c>
      <c r="Q26" s="21">
        <v>0.7727</v>
      </c>
      <c r="R26" s="21">
        <v>0.9565</v>
      </c>
      <c r="S26" s="21">
        <v>0.88</v>
      </c>
      <c r="T26" s="22">
        <v>1.0</v>
      </c>
      <c r="U26" s="22">
        <v>0.8636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15.75" customHeight="1">
      <c r="A27" s="18" t="s">
        <v>30</v>
      </c>
      <c r="B27" s="19" t="s">
        <v>31</v>
      </c>
      <c r="C27" s="19">
        <v>21.0</v>
      </c>
      <c r="D27" s="19">
        <v>1.511052602E10</v>
      </c>
      <c r="E27" s="23"/>
      <c r="F27" s="19" t="s">
        <v>52</v>
      </c>
      <c r="G27" s="20" t="str">
        <f t="shared" si="1"/>
        <v>Pending</v>
      </c>
      <c r="H27" s="20">
        <f t="shared" si="2"/>
        <v>-39</v>
      </c>
      <c r="I27" s="20">
        <f t="shared" si="3"/>
        <v>124</v>
      </c>
      <c r="J27" s="20">
        <f t="shared" si="4"/>
        <v>116</v>
      </c>
      <c r="K27" s="23"/>
      <c r="L27" s="21">
        <v>0.0</v>
      </c>
      <c r="M27" s="21">
        <v>0.0</v>
      </c>
      <c r="N27" s="21">
        <v>0.0</v>
      </c>
      <c r="O27" s="21">
        <v>0.6667</v>
      </c>
      <c r="P27" s="21">
        <v>0.6818</v>
      </c>
      <c r="Q27" s="21">
        <v>0.5909</v>
      </c>
      <c r="R27" s="21">
        <v>0.7826</v>
      </c>
      <c r="S27" s="21">
        <v>0.56</v>
      </c>
      <c r="T27" s="22">
        <v>0.4545</v>
      </c>
      <c r="U27" s="22">
        <v>0.4091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15.75" customHeight="1">
      <c r="A28" s="18" t="s">
        <v>30</v>
      </c>
      <c r="B28" s="19" t="s">
        <v>31</v>
      </c>
      <c r="C28" s="19">
        <v>22.0</v>
      </c>
      <c r="D28" s="19">
        <v>1.5110526021E10</v>
      </c>
      <c r="E28" s="23"/>
      <c r="F28" s="19" t="s">
        <v>53</v>
      </c>
      <c r="G28" s="20" t="str">
        <f t="shared" si="1"/>
        <v>Pending</v>
      </c>
      <c r="H28" s="20">
        <f t="shared" si="2"/>
        <v>-33</v>
      </c>
      <c r="I28" s="20">
        <f t="shared" si="3"/>
        <v>140</v>
      </c>
      <c r="J28" s="20">
        <f t="shared" si="4"/>
        <v>100</v>
      </c>
      <c r="K28" s="23"/>
      <c r="L28" s="21">
        <v>0.0</v>
      </c>
      <c r="M28" s="21">
        <v>0.0</v>
      </c>
      <c r="N28" s="21">
        <v>0.0</v>
      </c>
      <c r="O28" s="21">
        <v>1.0</v>
      </c>
      <c r="P28" s="21">
        <v>0.7727</v>
      </c>
      <c r="Q28" s="21">
        <v>0.5909</v>
      </c>
      <c r="R28" s="21">
        <v>0.5217</v>
      </c>
      <c r="S28" s="21">
        <v>0.72</v>
      </c>
      <c r="T28" s="22">
        <v>0.6818</v>
      </c>
      <c r="U28" s="22">
        <v>0.3636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15.75" customHeight="1">
      <c r="A29" s="18" t="s">
        <v>30</v>
      </c>
      <c r="B29" s="19" t="s">
        <v>31</v>
      </c>
      <c r="C29" s="19">
        <v>23.0</v>
      </c>
      <c r="D29" s="19">
        <v>1.5110526022E10</v>
      </c>
      <c r="E29" s="23"/>
      <c r="F29" s="19" t="s">
        <v>54</v>
      </c>
      <c r="G29" s="20" t="str">
        <f t="shared" si="1"/>
        <v>Pending</v>
      </c>
      <c r="H29" s="20">
        <f t="shared" si="2"/>
        <v>-25</v>
      </c>
      <c r="I29" s="20">
        <f t="shared" si="3"/>
        <v>165</v>
      </c>
      <c r="J29" s="20">
        <f t="shared" si="4"/>
        <v>75</v>
      </c>
      <c r="K29" s="23"/>
      <c r="L29" s="21">
        <v>0.0</v>
      </c>
      <c r="M29" s="21">
        <v>0.0</v>
      </c>
      <c r="N29" s="21">
        <v>0.0</v>
      </c>
      <c r="O29" s="21">
        <v>1.0</v>
      </c>
      <c r="P29" s="21">
        <v>0.7273</v>
      </c>
      <c r="Q29" s="21">
        <v>0.7273</v>
      </c>
      <c r="R29" s="21">
        <v>0.7826</v>
      </c>
      <c r="S29" s="21">
        <v>0.72</v>
      </c>
      <c r="T29" s="22">
        <v>0.8182</v>
      </c>
      <c r="U29" s="22">
        <v>0.7273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15.75" customHeight="1">
      <c r="A30" s="18" t="s">
        <v>30</v>
      </c>
      <c r="B30" s="19" t="s">
        <v>31</v>
      </c>
      <c r="C30" s="19">
        <v>24.0</v>
      </c>
      <c r="D30" s="19">
        <v>1.5110526023E10</v>
      </c>
      <c r="E30" s="23"/>
      <c r="F30" s="19" t="s">
        <v>55</v>
      </c>
      <c r="G30" s="20" t="str">
        <f t="shared" si="1"/>
        <v>Pending</v>
      </c>
      <c r="H30" s="20">
        <f t="shared" si="2"/>
        <v>-26</v>
      </c>
      <c r="I30" s="20">
        <f t="shared" si="3"/>
        <v>161</v>
      </c>
      <c r="J30" s="20">
        <f t="shared" si="4"/>
        <v>79</v>
      </c>
      <c r="K30" s="23"/>
      <c r="L30" s="21">
        <v>0.0</v>
      </c>
      <c r="M30" s="21">
        <v>0.0</v>
      </c>
      <c r="N30" s="21">
        <v>0.0</v>
      </c>
      <c r="O30" s="21">
        <v>0.0</v>
      </c>
      <c r="P30" s="21">
        <v>0.9333</v>
      </c>
      <c r="Q30" s="21">
        <v>0.7273</v>
      </c>
      <c r="R30" s="21">
        <v>0.8696</v>
      </c>
      <c r="S30" s="21">
        <v>0.96</v>
      </c>
      <c r="T30" s="22">
        <v>1.0</v>
      </c>
      <c r="U30" s="22">
        <v>0.8636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15.75" customHeight="1">
      <c r="A31" s="18" t="s">
        <v>30</v>
      </c>
      <c r="B31" s="19" t="s">
        <v>31</v>
      </c>
      <c r="C31" s="19">
        <v>25.0</v>
      </c>
      <c r="D31" s="19">
        <v>1.5110526024E10</v>
      </c>
      <c r="E31" s="23"/>
      <c r="F31" s="19" t="s">
        <v>56</v>
      </c>
      <c r="G31" s="20" t="str">
        <f t="shared" si="1"/>
        <v>Pending</v>
      </c>
      <c r="H31" s="20">
        <f t="shared" si="2"/>
        <v>-29</v>
      </c>
      <c r="I31" s="20">
        <f t="shared" si="3"/>
        <v>153</v>
      </c>
      <c r="J31" s="20">
        <f t="shared" si="4"/>
        <v>87</v>
      </c>
      <c r="K31" s="23"/>
      <c r="L31" s="21">
        <v>0.0</v>
      </c>
      <c r="M31" s="21">
        <v>0.0</v>
      </c>
      <c r="N31" s="21">
        <v>0.0</v>
      </c>
      <c r="O31" s="21">
        <v>0.0</v>
      </c>
      <c r="P31" s="21">
        <v>1.0</v>
      </c>
      <c r="Q31" s="21">
        <v>0.6818</v>
      </c>
      <c r="R31" s="21">
        <v>0.6522</v>
      </c>
      <c r="S31" s="21">
        <v>1.0</v>
      </c>
      <c r="T31" s="22">
        <v>0.9091</v>
      </c>
      <c r="U31" s="22">
        <v>0.8636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15.75" customHeight="1">
      <c r="A32" s="18" t="s">
        <v>30</v>
      </c>
      <c r="B32" s="19" t="s">
        <v>31</v>
      </c>
      <c r="C32" s="19">
        <v>26.0</v>
      </c>
      <c r="D32" s="19">
        <v>1.5110526027E10</v>
      </c>
      <c r="E32" s="23"/>
      <c r="F32" s="19" t="s">
        <v>57</v>
      </c>
      <c r="G32" s="20" t="str">
        <f t="shared" si="1"/>
        <v>Pending</v>
      </c>
      <c r="H32" s="20">
        <f t="shared" si="2"/>
        <v>-39</v>
      </c>
      <c r="I32" s="20">
        <f t="shared" si="3"/>
        <v>123</v>
      </c>
      <c r="J32" s="20">
        <f t="shared" si="4"/>
        <v>117</v>
      </c>
      <c r="K32" s="23"/>
      <c r="L32" s="21">
        <v>0.0</v>
      </c>
      <c r="M32" s="21">
        <v>0.0</v>
      </c>
      <c r="N32" s="21">
        <v>0.0</v>
      </c>
      <c r="O32" s="21">
        <v>0.0</v>
      </c>
      <c r="P32" s="21">
        <v>0.0</v>
      </c>
      <c r="Q32" s="21">
        <v>0.75</v>
      </c>
      <c r="R32" s="21">
        <v>0.7391</v>
      </c>
      <c r="S32" s="21">
        <v>0.88</v>
      </c>
      <c r="T32" s="22">
        <v>0.9091</v>
      </c>
      <c r="U32" s="22">
        <v>0.8182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15.75" customHeight="1">
      <c r="A33" s="18" t="s">
        <v>30</v>
      </c>
      <c r="B33" s="19" t="s">
        <v>31</v>
      </c>
      <c r="C33" s="19">
        <v>27.0</v>
      </c>
      <c r="D33" s="19">
        <v>1.511052603E10</v>
      </c>
      <c r="E33" s="23"/>
      <c r="F33" s="19" t="s">
        <v>58</v>
      </c>
      <c r="G33" s="20" t="str">
        <f t="shared" si="1"/>
        <v>Pending</v>
      </c>
      <c r="H33" s="20">
        <f t="shared" si="2"/>
        <v>-43</v>
      </c>
      <c r="I33" s="20">
        <f t="shared" si="3"/>
        <v>111</v>
      </c>
      <c r="J33" s="20">
        <f t="shared" si="4"/>
        <v>129</v>
      </c>
      <c r="K33" s="23"/>
      <c r="L33" s="21">
        <v>0.0</v>
      </c>
      <c r="M33" s="21">
        <v>0.0</v>
      </c>
      <c r="N33" s="21">
        <v>0.0</v>
      </c>
      <c r="O33" s="21">
        <v>0.0</v>
      </c>
      <c r="P33" s="21">
        <v>0.0</v>
      </c>
      <c r="Q33" s="21">
        <v>0.0</v>
      </c>
      <c r="R33" s="21">
        <v>0.6957</v>
      </c>
      <c r="S33" s="21">
        <v>1.0</v>
      </c>
      <c r="T33" s="22">
        <v>1.0</v>
      </c>
      <c r="U33" s="22">
        <v>1.0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15.75" customHeight="1">
      <c r="A34" s="18" t="s">
        <v>30</v>
      </c>
      <c r="B34" s="19" t="s">
        <v>31</v>
      </c>
      <c r="C34" s="19">
        <v>28.0</v>
      </c>
      <c r="D34" s="19">
        <v>1.5110526031E10</v>
      </c>
      <c r="E34" s="23"/>
      <c r="F34" s="19" t="s">
        <v>59</v>
      </c>
      <c r="G34" s="20" t="str">
        <f t="shared" si="1"/>
        <v>Pending</v>
      </c>
      <c r="H34" s="20">
        <f t="shared" si="2"/>
        <v>-46</v>
      </c>
      <c r="I34" s="20">
        <f t="shared" si="3"/>
        <v>101</v>
      </c>
      <c r="J34" s="20">
        <f t="shared" si="4"/>
        <v>139</v>
      </c>
      <c r="K34" s="23"/>
      <c r="L34" s="21">
        <v>0.0</v>
      </c>
      <c r="M34" s="21">
        <v>0.0</v>
      </c>
      <c r="N34" s="21">
        <v>0.0</v>
      </c>
      <c r="O34" s="21">
        <v>0.0</v>
      </c>
      <c r="P34" s="21">
        <v>0.0</v>
      </c>
      <c r="Q34" s="21">
        <v>0.0</v>
      </c>
      <c r="R34" s="21">
        <v>0.4783</v>
      </c>
      <c r="S34" s="21">
        <v>0.88</v>
      </c>
      <c r="T34" s="22">
        <v>1.0</v>
      </c>
      <c r="U34" s="22">
        <v>1.0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15.75" customHeight="1">
      <c r="A35" s="18" t="s">
        <v>30</v>
      </c>
      <c r="B35" s="19" t="s">
        <v>31</v>
      </c>
      <c r="C35" s="19">
        <v>29.0</v>
      </c>
      <c r="D35" s="19">
        <v>1.5110526032E10</v>
      </c>
      <c r="E35" s="19">
        <v>2.65001001E8</v>
      </c>
      <c r="F35" s="19" t="s">
        <v>60</v>
      </c>
      <c r="G35" s="20" t="str">
        <f t="shared" si="1"/>
        <v>Pending</v>
      </c>
      <c r="H35" s="20">
        <f t="shared" si="2"/>
        <v>-43</v>
      </c>
      <c r="I35" s="20">
        <f t="shared" si="3"/>
        <v>110</v>
      </c>
      <c r="J35" s="20">
        <f t="shared" si="4"/>
        <v>130</v>
      </c>
      <c r="K35" s="23"/>
      <c r="L35" s="21">
        <v>0.0</v>
      </c>
      <c r="M35" s="21">
        <v>0.0</v>
      </c>
      <c r="N35" s="21">
        <v>0.0</v>
      </c>
      <c r="O35" s="21">
        <v>0.0</v>
      </c>
      <c r="P35" s="21">
        <v>0.0</v>
      </c>
      <c r="Q35" s="21">
        <v>0.0</v>
      </c>
      <c r="R35" s="21">
        <v>0.913</v>
      </c>
      <c r="S35" s="21">
        <v>0.92</v>
      </c>
      <c r="T35" s="22">
        <v>1.0</v>
      </c>
      <c r="U35" s="22">
        <v>0.8182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15.75" customHeight="1">
      <c r="A36" s="18" t="s">
        <v>30</v>
      </c>
      <c r="B36" s="19" t="s">
        <v>31</v>
      </c>
      <c r="C36" s="19">
        <v>30.0</v>
      </c>
      <c r="D36" s="19">
        <v>1.5110526033E10</v>
      </c>
      <c r="E36" s="19">
        <v>2.65001002E8</v>
      </c>
      <c r="F36" s="19" t="s">
        <v>61</v>
      </c>
      <c r="G36" s="20" t="str">
        <f t="shared" si="1"/>
        <v>Pending</v>
      </c>
      <c r="H36" s="20">
        <f t="shared" si="2"/>
        <v>-41</v>
      </c>
      <c r="I36" s="20">
        <f t="shared" si="3"/>
        <v>116</v>
      </c>
      <c r="J36" s="20">
        <f t="shared" si="4"/>
        <v>124</v>
      </c>
      <c r="K36" s="23"/>
      <c r="L36" s="21">
        <v>0.0</v>
      </c>
      <c r="M36" s="21">
        <v>0.0</v>
      </c>
      <c r="N36" s="21">
        <v>0.0</v>
      </c>
      <c r="O36" s="21">
        <v>0.0</v>
      </c>
      <c r="P36" s="21">
        <v>0.0</v>
      </c>
      <c r="Q36" s="21">
        <v>0.0</v>
      </c>
      <c r="R36" s="21">
        <v>0.9565</v>
      </c>
      <c r="S36" s="21">
        <v>0.92</v>
      </c>
      <c r="T36" s="22">
        <v>1.0</v>
      </c>
      <c r="U36" s="22">
        <v>1.0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15.75" customHeight="1">
      <c r="A37" s="18" t="s">
        <v>30</v>
      </c>
      <c r="B37" s="19" t="s">
        <v>31</v>
      </c>
      <c r="C37" s="19">
        <v>31.0</v>
      </c>
      <c r="D37" s="19">
        <v>1.5110526034E10</v>
      </c>
      <c r="E37" s="23"/>
      <c r="F37" s="19" t="s">
        <v>62</v>
      </c>
      <c r="G37" s="20" t="str">
        <f t="shared" si="1"/>
        <v>Pending</v>
      </c>
      <c r="H37" s="20">
        <f t="shared" si="2"/>
        <v>-45</v>
      </c>
      <c r="I37" s="20">
        <f t="shared" si="3"/>
        <v>105</v>
      </c>
      <c r="J37" s="20">
        <f t="shared" si="4"/>
        <v>135</v>
      </c>
      <c r="K37" s="23"/>
      <c r="L37" s="21">
        <v>0.0</v>
      </c>
      <c r="M37" s="21">
        <v>0.0</v>
      </c>
      <c r="N37" s="21">
        <v>0.0</v>
      </c>
      <c r="O37" s="21">
        <v>0.0</v>
      </c>
      <c r="P37" s="21">
        <v>0.0</v>
      </c>
      <c r="Q37" s="21">
        <v>0.0</v>
      </c>
      <c r="R37" s="21">
        <v>0.8261</v>
      </c>
      <c r="S37" s="21">
        <v>0.84</v>
      </c>
      <c r="T37" s="22">
        <v>0.9091</v>
      </c>
      <c r="U37" s="22">
        <v>0.9091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15.75" customHeight="1">
      <c r="A38" s="18" t="s">
        <v>30</v>
      </c>
      <c r="B38" s="19" t="s">
        <v>31</v>
      </c>
      <c r="C38" s="19">
        <v>32.0</v>
      </c>
      <c r="D38" s="19">
        <v>1.5110526052E10</v>
      </c>
      <c r="E38" s="23"/>
      <c r="F38" s="19" t="s">
        <v>63</v>
      </c>
      <c r="G38" s="20" t="str">
        <f t="shared" si="1"/>
        <v>Pending</v>
      </c>
      <c r="H38" s="20">
        <f t="shared" si="2"/>
        <v>-51</v>
      </c>
      <c r="I38" s="20">
        <f t="shared" si="3"/>
        <v>87</v>
      </c>
      <c r="J38" s="20">
        <f t="shared" si="4"/>
        <v>153</v>
      </c>
      <c r="K38" s="23"/>
      <c r="L38" s="21">
        <v>0.0</v>
      </c>
      <c r="M38" s="21">
        <v>0.0</v>
      </c>
      <c r="N38" s="21">
        <v>0.0</v>
      </c>
      <c r="O38" s="21">
        <v>0.0</v>
      </c>
      <c r="P38" s="21">
        <v>0.0</v>
      </c>
      <c r="Q38" s="21">
        <v>0.0</v>
      </c>
      <c r="R38" s="21">
        <v>0.0</v>
      </c>
      <c r="S38" s="21">
        <v>1.0</v>
      </c>
      <c r="T38" s="22">
        <v>0.9091</v>
      </c>
      <c r="U38" s="22">
        <v>1.0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15.75" customHeight="1">
      <c r="A39" s="18" t="s">
        <v>30</v>
      </c>
      <c r="B39" s="19" t="s">
        <v>31</v>
      </c>
      <c r="C39" s="19">
        <v>33.0</v>
      </c>
      <c r="D39" s="19">
        <v>1.5110526053E10</v>
      </c>
      <c r="E39" s="23"/>
      <c r="F39" s="19" t="s">
        <v>64</v>
      </c>
      <c r="G39" s="20" t="str">
        <f t="shared" si="1"/>
        <v>Pending</v>
      </c>
      <c r="H39" s="20">
        <f t="shared" si="2"/>
        <v>-74</v>
      </c>
      <c r="I39" s="20">
        <f t="shared" si="3"/>
        <v>17</v>
      </c>
      <c r="J39" s="20">
        <f t="shared" si="4"/>
        <v>223</v>
      </c>
      <c r="K39" s="23"/>
      <c r="L39" s="21">
        <v>0.0</v>
      </c>
      <c r="M39" s="21">
        <v>0.0</v>
      </c>
      <c r="N39" s="21">
        <v>0.0</v>
      </c>
      <c r="O39" s="21">
        <v>0.0</v>
      </c>
      <c r="P39" s="21">
        <v>0.0</v>
      </c>
      <c r="Q39" s="21">
        <v>0.0</v>
      </c>
      <c r="R39" s="21">
        <v>0.0</v>
      </c>
      <c r="S39" s="21">
        <v>0.381</v>
      </c>
      <c r="T39" s="22">
        <v>0.1364</v>
      </c>
      <c r="U39" s="22">
        <v>0.0455</v>
      </c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15.75" customHeight="1">
      <c r="A40" s="18" t="s">
        <v>30</v>
      </c>
      <c r="B40" s="19" t="s">
        <v>31</v>
      </c>
      <c r="C40" s="19">
        <v>34.0</v>
      </c>
      <c r="D40" s="19">
        <v>1.5110526054E10</v>
      </c>
      <c r="E40" s="23"/>
      <c r="F40" s="19" t="s">
        <v>65</v>
      </c>
      <c r="G40" s="20" t="str">
        <f t="shared" si="1"/>
        <v>Pending</v>
      </c>
      <c r="H40" s="20">
        <f t="shared" si="2"/>
        <v>-56</v>
      </c>
      <c r="I40" s="20">
        <f t="shared" si="3"/>
        <v>71</v>
      </c>
      <c r="J40" s="20">
        <f t="shared" si="4"/>
        <v>169</v>
      </c>
      <c r="K40" s="23"/>
      <c r="L40" s="21">
        <v>0.0</v>
      </c>
      <c r="M40" s="21">
        <v>0.0</v>
      </c>
      <c r="N40" s="21">
        <v>0.0</v>
      </c>
      <c r="O40" s="21">
        <v>0.0</v>
      </c>
      <c r="P40" s="21">
        <v>0.0</v>
      </c>
      <c r="Q40" s="21">
        <v>0.0</v>
      </c>
      <c r="R40" s="21">
        <v>0.0</v>
      </c>
      <c r="S40" s="21">
        <v>0.5</v>
      </c>
      <c r="T40" s="22">
        <v>0.9545</v>
      </c>
      <c r="U40" s="22">
        <v>0.9091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t="15.75" customHeight="1">
      <c r="A41" s="4"/>
      <c r="B41" s="4"/>
      <c r="C41" s="4"/>
      <c r="D41" s="4"/>
      <c r="E41" s="4"/>
      <c r="F41" s="24">
        <f>COUNTA(F7:F40)</f>
        <v>34</v>
      </c>
      <c r="G41" s="20" t="str">
        <f t="shared" si="1"/>
        <v>Pending</v>
      </c>
      <c r="H41" s="20">
        <f t="shared" si="2"/>
        <v>-20</v>
      </c>
      <c r="I41" s="20">
        <f t="shared" si="3"/>
        <v>179</v>
      </c>
      <c r="J41" s="20">
        <f t="shared" si="4"/>
        <v>61</v>
      </c>
      <c r="K41" s="25"/>
      <c r="L41" s="26">
        <f t="shared" ref="L41:Z41" si="5">SUM(L7:L40)/$F$41</f>
        <v>0.2981294118</v>
      </c>
      <c r="M41" s="26">
        <f t="shared" si="5"/>
        <v>0.3954235294</v>
      </c>
      <c r="N41" s="26">
        <f t="shared" si="5"/>
        <v>0.4117588235</v>
      </c>
      <c r="O41" s="26">
        <f t="shared" si="5"/>
        <v>0.5717470588</v>
      </c>
      <c r="P41" s="26">
        <f t="shared" si="5"/>
        <v>0.6009705882</v>
      </c>
      <c r="Q41" s="26">
        <f t="shared" si="5"/>
        <v>0.5715235294</v>
      </c>
      <c r="R41" s="26">
        <f t="shared" si="5"/>
        <v>0.7212235294</v>
      </c>
      <c r="S41" s="26">
        <f t="shared" si="5"/>
        <v>0.7847352941</v>
      </c>
      <c r="T41" s="26">
        <f t="shared" si="5"/>
        <v>0.8328823529</v>
      </c>
      <c r="U41" s="26">
        <f t="shared" si="5"/>
        <v>0.7914411765</v>
      </c>
      <c r="V41" s="26">
        <f t="shared" si="5"/>
        <v>0</v>
      </c>
      <c r="W41" s="26">
        <f t="shared" si="5"/>
        <v>0</v>
      </c>
      <c r="X41" s="26">
        <f t="shared" si="5"/>
        <v>0</v>
      </c>
      <c r="Y41" s="26">
        <f t="shared" si="5"/>
        <v>0</v>
      </c>
      <c r="Z41" s="26">
        <f t="shared" si="5"/>
        <v>0</v>
      </c>
      <c r="AA41" s="4"/>
      <c r="AB41" s="4"/>
      <c r="AC41" s="4"/>
      <c r="AD41" s="4"/>
      <c r="AE41" s="4"/>
    </row>
    <row r="42" ht="18.75" customHeight="1">
      <c r="A42" s="6" t="s">
        <v>66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27"/>
      <c r="M42" s="27"/>
      <c r="N42" s="27"/>
      <c r="O42" s="27"/>
      <c r="P42" s="27"/>
      <c r="Q42" s="27"/>
      <c r="R42" s="27"/>
      <c r="S42" s="28"/>
      <c r="T42" s="29"/>
      <c r="U42" s="23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15.75" customHeight="1">
      <c r="A43" s="30" t="s">
        <v>4</v>
      </c>
      <c r="B43" s="31" t="s">
        <v>5</v>
      </c>
      <c r="C43" s="31" t="s">
        <v>6</v>
      </c>
      <c r="D43" s="31" t="s">
        <v>7</v>
      </c>
      <c r="E43" s="31" t="s">
        <v>8</v>
      </c>
      <c r="F43" s="31" t="s">
        <v>9</v>
      </c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2"/>
      <c r="R43" s="32"/>
      <c r="S43" s="32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15.75" customHeight="1">
      <c r="A44" s="18" t="s">
        <v>30</v>
      </c>
      <c r="B44" s="19" t="s">
        <v>31</v>
      </c>
      <c r="C44" s="19">
        <v>1.0</v>
      </c>
      <c r="D44" s="19">
        <v>1.5110524024E10</v>
      </c>
      <c r="E44" s="19">
        <v>2.40001001E8</v>
      </c>
      <c r="F44" s="19" t="s">
        <v>67</v>
      </c>
      <c r="G44" s="20" t="str">
        <f t="shared" ref="G44:G68" si="6">IF(H44&gt;=0,"OK",IF(K44&gt;=J44,"Completed","Pending"))</f>
        <v>Pending</v>
      </c>
      <c r="H44" s="20">
        <f t="shared" ref="H44:H68" si="7">round((((((L44*100)*$L$5)+((M44*100)*$M$5)+((N44*100)*$N$5)+((O44*100)*$O$5)+((P44*100)*$P$5)+((Q44*100)*$Q$5)+((R44*100)*$R$5)+((S44*100)*$S$5)+((T44*100)*$T$5)+((U44*100)*$U$5)+((V44*100)*$V$5)+((W44*100)*$W$5)+((X44*100)*$X$5)+((Y44*100)*$Y$5)+((Z44*100)*$Z$5)++((W44*100)*$W$5)+((AA44*100)*$AA$5))/($L$5+$M$5+$N$5+$O$5+$P$5+$Q$5+$R$5+$S$5+$T$5+$V$5+$U$5+$W$5+$X$5+$Y$5+$Z$5+$AA$5))-80),0)</f>
        <v>-4</v>
      </c>
      <c r="I44" s="20">
        <f t="shared" ref="I44:I68" si="8">round(30*((L44*$L$5)+(M44*$M$5)+(N44*$N$5)+(O44*$O$5)+(P44*$P$5)+(Q44*$Q$5)+(R44*$R$5)+(S44*$S$5)+(T44*$T$5)+(U44*$U$5)+(V44*$V$5)+(W44*$W$5)+(X44*$X$5)+(Y44*$Y$5)+(Z44*$Z$5)+(AA44*$AA$5)),0)</f>
        <v>227</v>
      </c>
      <c r="J44" s="20">
        <f t="shared" ref="J44:J68" si="9">if(I44&lt;(24*($L$5+$M$5+$N$5+$O$5+$P$5+$Q$5+$R$5+$S$5+$T$5+$V$5+$U$5+$W$5+$X$5+$Y$5+$Z$5+$AA$5)),abs(I44-(24*($L$5+$M$5+$N$5+$O$5+$P$5+$Q$5+$R$5+$S$5+$T$5+$V$5+$U$5+$W$5+$X$5+$Y$5+$Z$5+$AA$5))),0)</f>
        <v>13</v>
      </c>
      <c r="K44" s="23"/>
      <c r="L44" s="21">
        <v>0.7727</v>
      </c>
      <c r="M44" s="21">
        <v>0.9412</v>
      </c>
      <c r="N44" s="21">
        <v>0.7727</v>
      </c>
      <c r="O44" s="21">
        <v>0.7727</v>
      </c>
      <c r="P44" s="21">
        <v>0.8261</v>
      </c>
      <c r="Q44" s="21">
        <v>0.6364</v>
      </c>
      <c r="R44" s="21">
        <v>0.7727</v>
      </c>
      <c r="S44" s="21">
        <v>0.625</v>
      </c>
      <c r="T44" s="22">
        <v>0.8636</v>
      </c>
      <c r="U44" s="22">
        <v>0.5909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15.75" customHeight="1">
      <c r="A45" s="18" t="s">
        <v>30</v>
      </c>
      <c r="B45" s="19" t="s">
        <v>31</v>
      </c>
      <c r="C45" s="19">
        <v>2.0</v>
      </c>
      <c r="D45" s="19">
        <v>1.5110524001E10</v>
      </c>
      <c r="E45" s="19">
        <v>2.40001003E8</v>
      </c>
      <c r="F45" s="19" t="s">
        <v>68</v>
      </c>
      <c r="G45" s="20" t="str">
        <f t="shared" si="6"/>
        <v>OK</v>
      </c>
      <c r="H45" s="20">
        <f t="shared" si="7"/>
        <v>18</v>
      </c>
      <c r="I45" s="20">
        <f t="shared" si="8"/>
        <v>295</v>
      </c>
      <c r="J45" s="20">
        <f t="shared" si="9"/>
        <v>0</v>
      </c>
      <c r="K45" s="23"/>
      <c r="L45" s="21">
        <v>0.9545</v>
      </c>
      <c r="M45" s="21">
        <v>1.0</v>
      </c>
      <c r="N45" s="21">
        <v>1.0</v>
      </c>
      <c r="O45" s="21">
        <v>1.0</v>
      </c>
      <c r="P45" s="21">
        <v>0.913</v>
      </c>
      <c r="Q45" s="21">
        <v>1.0</v>
      </c>
      <c r="R45" s="21">
        <v>0.9545</v>
      </c>
      <c r="S45" s="21">
        <v>1.0</v>
      </c>
      <c r="T45" s="22">
        <v>1.0</v>
      </c>
      <c r="U45" s="22">
        <v>1.0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15.75" customHeight="1">
      <c r="A46" s="18" t="s">
        <v>30</v>
      </c>
      <c r="B46" s="19" t="s">
        <v>31</v>
      </c>
      <c r="C46" s="19">
        <v>3.0</v>
      </c>
      <c r="D46" s="19">
        <v>1.5110524021E10</v>
      </c>
      <c r="E46" s="19">
        <v>2.40001004E8</v>
      </c>
      <c r="F46" s="19" t="s">
        <v>69</v>
      </c>
      <c r="G46" s="20" t="str">
        <f t="shared" si="6"/>
        <v>OK</v>
      </c>
      <c r="H46" s="20">
        <f t="shared" si="7"/>
        <v>19</v>
      </c>
      <c r="I46" s="20">
        <f t="shared" si="8"/>
        <v>296</v>
      </c>
      <c r="J46" s="20">
        <f t="shared" si="9"/>
        <v>0</v>
      </c>
      <c r="K46" s="23"/>
      <c r="L46" s="21">
        <v>1.0</v>
      </c>
      <c r="M46" s="21">
        <v>1.0</v>
      </c>
      <c r="N46" s="21">
        <v>1.0</v>
      </c>
      <c r="O46" s="21">
        <v>0.9091</v>
      </c>
      <c r="P46" s="21">
        <v>1.0</v>
      </c>
      <c r="Q46" s="21">
        <v>1.0</v>
      </c>
      <c r="R46" s="21">
        <v>1.0</v>
      </c>
      <c r="S46" s="21">
        <v>0.9583</v>
      </c>
      <c r="T46" s="22">
        <v>1.0</v>
      </c>
      <c r="U46" s="22">
        <v>1.0</v>
      </c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15.75" customHeight="1">
      <c r="A47" s="18" t="s">
        <v>30</v>
      </c>
      <c r="B47" s="19" t="s">
        <v>31</v>
      </c>
      <c r="C47" s="19">
        <v>4.0</v>
      </c>
      <c r="D47" s="19">
        <v>1.5110524006E10</v>
      </c>
      <c r="E47" s="19">
        <v>2.40001005E8</v>
      </c>
      <c r="F47" s="19" t="s">
        <v>70</v>
      </c>
      <c r="G47" s="20" t="str">
        <f t="shared" si="6"/>
        <v>Pending</v>
      </c>
      <c r="H47" s="20">
        <f t="shared" si="7"/>
        <v>-22</v>
      </c>
      <c r="I47" s="20">
        <f t="shared" si="8"/>
        <v>175</v>
      </c>
      <c r="J47" s="20">
        <f t="shared" si="9"/>
        <v>65</v>
      </c>
      <c r="K47" s="23"/>
      <c r="L47" s="21">
        <v>0.7273</v>
      </c>
      <c r="M47" s="21">
        <v>0.7059</v>
      </c>
      <c r="N47" s="21">
        <v>0.6364</v>
      </c>
      <c r="O47" s="21">
        <v>0.5909</v>
      </c>
      <c r="P47" s="21">
        <v>0.3478</v>
      </c>
      <c r="Q47" s="21">
        <v>0.5455</v>
      </c>
      <c r="R47" s="21">
        <v>0.3636</v>
      </c>
      <c r="S47" s="21">
        <v>0.4583</v>
      </c>
      <c r="T47" s="22">
        <v>0.9091</v>
      </c>
      <c r="U47" s="22">
        <v>0.5455</v>
      </c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15.75" customHeight="1">
      <c r="A48" s="18" t="s">
        <v>30</v>
      </c>
      <c r="B48" s="19" t="s">
        <v>31</v>
      </c>
      <c r="C48" s="19">
        <v>5.0</v>
      </c>
      <c r="D48" s="19">
        <v>1.5110524014E10</v>
      </c>
      <c r="E48" s="19">
        <v>2.40001006E8</v>
      </c>
      <c r="F48" s="19" t="s">
        <v>71</v>
      </c>
      <c r="G48" s="20" t="str">
        <f t="shared" si="6"/>
        <v>Pending</v>
      </c>
      <c r="H48" s="20">
        <f t="shared" si="7"/>
        <v>-3</v>
      </c>
      <c r="I48" s="20">
        <f t="shared" si="8"/>
        <v>230</v>
      </c>
      <c r="J48" s="20">
        <f t="shared" si="9"/>
        <v>10</v>
      </c>
      <c r="K48" s="23"/>
      <c r="L48" s="21">
        <v>0.5</v>
      </c>
      <c r="M48" s="21">
        <v>0.8235</v>
      </c>
      <c r="N48" s="21">
        <v>0.9091</v>
      </c>
      <c r="O48" s="21">
        <v>0.8636</v>
      </c>
      <c r="P48" s="21">
        <v>0.913</v>
      </c>
      <c r="Q48" s="21">
        <v>0.7727</v>
      </c>
      <c r="R48" s="21">
        <v>0.6818</v>
      </c>
      <c r="S48" s="21">
        <v>0.75</v>
      </c>
      <c r="T48" s="22">
        <v>0.7273</v>
      </c>
      <c r="U48" s="22">
        <v>0.7273</v>
      </c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15.75" customHeight="1">
      <c r="A49" s="18" t="s">
        <v>30</v>
      </c>
      <c r="B49" s="19" t="s">
        <v>31</v>
      </c>
      <c r="C49" s="19">
        <v>6.0</v>
      </c>
      <c r="D49" s="19">
        <v>1.5110524029E10</v>
      </c>
      <c r="E49" s="19">
        <v>2.40001007E8</v>
      </c>
      <c r="F49" s="19" t="s">
        <v>72</v>
      </c>
      <c r="G49" s="20" t="str">
        <f t="shared" si="6"/>
        <v>Pending</v>
      </c>
      <c r="H49" s="20">
        <f t="shared" si="7"/>
        <v>-2</v>
      </c>
      <c r="I49" s="20">
        <f t="shared" si="8"/>
        <v>233</v>
      </c>
      <c r="J49" s="20">
        <f t="shared" si="9"/>
        <v>7</v>
      </c>
      <c r="K49" s="23"/>
      <c r="L49" s="21">
        <v>0.7727</v>
      </c>
      <c r="M49" s="21">
        <v>0.8824</v>
      </c>
      <c r="N49" s="21">
        <v>0.6818</v>
      </c>
      <c r="O49" s="21">
        <v>0.8182</v>
      </c>
      <c r="P49" s="21">
        <v>0.7826</v>
      </c>
      <c r="Q49" s="21">
        <v>0.6818</v>
      </c>
      <c r="R49" s="21">
        <v>0.5</v>
      </c>
      <c r="S49" s="21">
        <v>0.7917</v>
      </c>
      <c r="T49" s="22">
        <v>1.0</v>
      </c>
      <c r="U49" s="22">
        <v>0.8636</v>
      </c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15.75" customHeight="1">
      <c r="A50" s="18" t="s">
        <v>30</v>
      </c>
      <c r="B50" s="19" t="s">
        <v>31</v>
      </c>
      <c r="C50" s="19">
        <v>7.0</v>
      </c>
      <c r="D50" s="19">
        <v>1.5110524022E10</v>
      </c>
      <c r="E50" s="19">
        <v>2.40001008E8</v>
      </c>
      <c r="F50" s="19" t="s">
        <v>73</v>
      </c>
      <c r="G50" s="20" t="str">
        <f t="shared" si="6"/>
        <v>OK</v>
      </c>
      <c r="H50" s="20">
        <f t="shared" si="7"/>
        <v>16</v>
      </c>
      <c r="I50" s="20">
        <f t="shared" si="8"/>
        <v>288</v>
      </c>
      <c r="J50" s="20">
        <f t="shared" si="9"/>
        <v>0</v>
      </c>
      <c r="K50" s="23"/>
      <c r="L50" s="21">
        <v>0.8182</v>
      </c>
      <c r="M50" s="21">
        <v>1.0</v>
      </c>
      <c r="N50" s="21">
        <v>0.9545</v>
      </c>
      <c r="O50" s="21">
        <v>0.9091</v>
      </c>
      <c r="P50" s="21">
        <v>1.0</v>
      </c>
      <c r="Q50" s="21">
        <v>0.9545</v>
      </c>
      <c r="R50" s="21">
        <v>0.9545</v>
      </c>
      <c r="S50" s="21">
        <v>1.0</v>
      </c>
      <c r="T50" s="22">
        <v>1.0</v>
      </c>
      <c r="U50" s="22">
        <v>1.0</v>
      </c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15.75" customHeight="1">
      <c r="A51" s="18" t="s">
        <v>30</v>
      </c>
      <c r="B51" s="19" t="s">
        <v>31</v>
      </c>
      <c r="C51" s="19">
        <v>8.0</v>
      </c>
      <c r="D51" s="19">
        <v>1.5110525019E10</v>
      </c>
      <c r="E51" s="19">
        <v>2.51001001E8</v>
      </c>
      <c r="F51" s="19" t="s">
        <v>74</v>
      </c>
      <c r="G51" s="20" t="str">
        <f t="shared" si="6"/>
        <v>Pending</v>
      </c>
      <c r="H51" s="20">
        <f t="shared" si="7"/>
        <v>-3</v>
      </c>
      <c r="I51" s="20">
        <f t="shared" si="8"/>
        <v>232</v>
      </c>
      <c r="J51" s="20">
        <f t="shared" si="9"/>
        <v>8</v>
      </c>
      <c r="K51" s="23"/>
      <c r="L51" s="21">
        <v>0.7273</v>
      </c>
      <c r="M51" s="21">
        <v>0.9412</v>
      </c>
      <c r="N51" s="21">
        <v>0.5455</v>
      </c>
      <c r="O51" s="21">
        <v>0.8182</v>
      </c>
      <c r="P51" s="21">
        <v>0.8261</v>
      </c>
      <c r="Q51" s="21">
        <v>0.5909</v>
      </c>
      <c r="R51" s="21">
        <v>0.8636</v>
      </c>
      <c r="S51" s="21">
        <v>0.8333</v>
      </c>
      <c r="T51" s="22">
        <v>0.8182</v>
      </c>
      <c r="U51" s="22">
        <v>0.7727</v>
      </c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15.75" customHeight="1">
      <c r="A52" s="18" t="s">
        <v>30</v>
      </c>
      <c r="B52" s="19" t="s">
        <v>31</v>
      </c>
      <c r="C52" s="19">
        <v>9.0</v>
      </c>
      <c r="D52" s="19">
        <v>1.5110525001E10</v>
      </c>
      <c r="E52" s="19">
        <v>2.51001002E8</v>
      </c>
      <c r="F52" s="19" t="s">
        <v>75</v>
      </c>
      <c r="G52" s="20" t="str">
        <f t="shared" si="6"/>
        <v>OK</v>
      </c>
      <c r="H52" s="20">
        <f t="shared" si="7"/>
        <v>16</v>
      </c>
      <c r="I52" s="20">
        <f t="shared" si="8"/>
        <v>288</v>
      </c>
      <c r="J52" s="20">
        <f t="shared" si="9"/>
        <v>0</v>
      </c>
      <c r="K52" s="23"/>
      <c r="L52" s="21">
        <v>0.8182</v>
      </c>
      <c r="M52" s="21">
        <v>1.0</v>
      </c>
      <c r="N52" s="21">
        <v>1.0</v>
      </c>
      <c r="O52" s="21">
        <v>1.0</v>
      </c>
      <c r="P52" s="21">
        <v>1.0</v>
      </c>
      <c r="Q52" s="21">
        <v>0.9545</v>
      </c>
      <c r="R52" s="21">
        <v>0.9545</v>
      </c>
      <c r="S52" s="21">
        <v>0.9583</v>
      </c>
      <c r="T52" s="22">
        <v>0.9091</v>
      </c>
      <c r="U52" s="22">
        <v>1.0</v>
      </c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15.75" customHeight="1">
      <c r="A53" s="18" t="s">
        <v>30</v>
      </c>
      <c r="B53" s="19" t="s">
        <v>31</v>
      </c>
      <c r="C53" s="19">
        <v>10.0</v>
      </c>
      <c r="D53" s="19">
        <v>1.5110525027E10</v>
      </c>
      <c r="E53" s="19">
        <v>2.51001003E8</v>
      </c>
      <c r="F53" s="19" t="s">
        <v>76</v>
      </c>
      <c r="G53" s="20" t="str">
        <f t="shared" si="6"/>
        <v>Pending</v>
      </c>
      <c r="H53" s="20">
        <f t="shared" si="7"/>
        <v>-16</v>
      </c>
      <c r="I53" s="20">
        <f t="shared" si="8"/>
        <v>191</v>
      </c>
      <c r="J53" s="20">
        <f t="shared" si="9"/>
        <v>49</v>
      </c>
      <c r="K53" s="23"/>
      <c r="L53" s="21">
        <v>0.6818</v>
      </c>
      <c r="M53" s="21">
        <v>0.8235</v>
      </c>
      <c r="N53" s="21">
        <v>0.7273</v>
      </c>
      <c r="O53" s="21">
        <v>0.5909</v>
      </c>
      <c r="P53" s="21">
        <v>0.6522</v>
      </c>
      <c r="Q53" s="21">
        <v>0.6818</v>
      </c>
      <c r="R53" s="21">
        <v>0.4091</v>
      </c>
      <c r="S53" s="21">
        <v>0.5417</v>
      </c>
      <c r="T53" s="22">
        <v>0.5909</v>
      </c>
      <c r="U53" s="22">
        <v>0.6818</v>
      </c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15.75" customHeight="1">
      <c r="A54" s="18" t="s">
        <v>30</v>
      </c>
      <c r="B54" s="19" t="s">
        <v>31</v>
      </c>
      <c r="C54" s="19">
        <v>11.0</v>
      </c>
      <c r="D54" s="19">
        <v>1.5110525007E10</v>
      </c>
      <c r="E54" s="19">
        <v>2.51001004E8</v>
      </c>
      <c r="F54" s="19" t="s">
        <v>77</v>
      </c>
      <c r="G54" s="20" t="str">
        <f t="shared" si="6"/>
        <v>OK</v>
      </c>
      <c r="H54" s="20">
        <f t="shared" si="7"/>
        <v>16</v>
      </c>
      <c r="I54" s="20">
        <f t="shared" si="8"/>
        <v>289</v>
      </c>
      <c r="J54" s="20">
        <f t="shared" si="9"/>
        <v>0</v>
      </c>
      <c r="K54" s="23"/>
      <c r="L54" s="21">
        <v>1.0</v>
      </c>
      <c r="M54" s="21">
        <v>1.0</v>
      </c>
      <c r="N54" s="21">
        <v>1.0</v>
      </c>
      <c r="O54" s="21">
        <v>0.8636</v>
      </c>
      <c r="P54" s="21">
        <v>1.0</v>
      </c>
      <c r="Q54" s="21">
        <v>0.8182</v>
      </c>
      <c r="R54" s="21">
        <v>1.0</v>
      </c>
      <c r="S54" s="21">
        <v>0.9583</v>
      </c>
      <c r="T54" s="22">
        <v>1.0</v>
      </c>
      <c r="U54" s="22">
        <v>1.0</v>
      </c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15.75" customHeight="1">
      <c r="A55" s="18" t="s">
        <v>30</v>
      </c>
      <c r="B55" s="19" t="s">
        <v>31</v>
      </c>
      <c r="C55" s="19">
        <v>12.0</v>
      </c>
      <c r="D55" s="19">
        <v>1.5110525005E10</v>
      </c>
      <c r="E55" s="19">
        <v>2.51001005E8</v>
      </c>
      <c r="F55" s="19" t="s">
        <v>78</v>
      </c>
      <c r="G55" s="20" t="str">
        <f t="shared" si="6"/>
        <v>Pending</v>
      </c>
      <c r="H55" s="20">
        <f t="shared" si="7"/>
        <v>-2</v>
      </c>
      <c r="I55" s="20">
        <f t="shared" si="8"/>
        <v>234</v>
      </c>
      <c r="J55" s="20">
        <f t="shared" si="9"/>
        <v>6</v>
      </c>
      <c r="K55" s="23"/>
      <c r="L55" s="21">
        <v>0.0</v>
      </c>
      <c r="M55" s="21">
        <v>0.8824</v>
      </c>
      <c r="N55" s="21">
        <v>0.8636</v>
      </c>
      <c r="O55" s="21">
        <v>0.9091</v>
      </c>
      <c r="P55" s="21">
        <v>0.7826</v>
      </c>
      <c r="Q55" s="21">
        <v>0.8182</v>
      </c>
      <c r="R55" s="21">
        <v>0.6364</v>
      </c>
      <c r="S55" s="21">
        <v>0.9583</v>
      </c>
      <c r="T55" s="22">
        <v>0.9545</v>
      </c>
      <c r="U55" s="22">
        <v>1.0</v>
      </c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15.75" customHeight="1">
      <c r="A56" s="18" t="s">
        <v>30</v>
      </c>
      <c r="B56" s="19" t="s">
        <v>31</v>
      </c>
      <c r="C56" s="19">
        <v>13.0</v>
      </c>
      <c r="D56" s="19">
        <v>1.5110525033E10</v>
      </c>
      <c r="E56" s="19">
        <v>2.51001006E8</v>
      </c>
      <c r="F56" s="19" t="s">
        <v>79</v>
      </c>
      <c r="G56" s="20" t="str">
        <f t="shared" si="6"/>
        <v>Pending</v>
      </c>
      <c r="H56" s="20">
        <f t="shared" si="7"/>
        <v>-29</v>
      </c>
      <c r="I56" s="20">
        <f t="shared" si="8"/>
        <v>153</v>
      </c>
      <c r="J56" s="20">
        <f t="shared" si="9"/>
        <v>87</v>
      </c>
      <c r="K56" s="23"/>
      <c r="L56" s="21">
        <v>0.5</v>
      </c>
      <c r="M56" s="21">
        <v>1.0</v>
      </c>
      <c r="N56" s="21">
        <v>0.2727</v>
      </c>
      <c r="O56" s="21">
        <v>0.6364</v>
      </c>
      <c r="P56" s="21">
        <v>0.4783</v>
      </c>
      <c r="Q56" s="21">
        <v>0.4545</v>
      </c>
      <c r="R56" s="21">
        <v>0.4545</v>
      </c>
      <c r="S56" s="21">
        <v>0.5417</v>
      </c>
      <c r="T56" s="22">
        <v>0.4091</v>
      </c>
      <c r="U56" s="22">
        <v>0.3636</v>
      </c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15.75" customHeight="1">
      <c r="A57" s="18" t="s">
        <v>30</v>
      </c>
      <c r="B57" s="19" t="s">
        <v>31</v>
      </c>
      <c r="C57" s="19">
        <v>14.0</v>
      </c>
      <c r="D57" s="19">
        <v>1.5110525009E10</v>
      </c>
      <c r="E57" s="19">
        <v>2.51001007E8</v>
      </c>
      <c r="F57" s="19" t="s">
        <v>80</v>
      </c>
      <c r="G57" s="20" t="str">
        <f t="shared" si="6"/>
        <v>Pending</v>
      </c>
      <c r="H57" s="20">
        <f t="shared" si="7"/>
        <v>-6</v>
      </c>
      <c r="I57" s="20">
        <f t="shared" si="8"/>
        <v>223</v>
      </c>
      <c r="J57" s="20">
        <f t="shared" si="9"/>
        <v>17</v>
      </c>
      <c r="K57" s="23"/>
      <c r="L57" s="21">
        <v>0.7273</v>
      </c>
      <c r="M57" s="21">
        <v>0.7647</v>
      </c>
      <c r="N57" s="21">
        <v>0.7273</v>
      </c>
      <c r="O57" s="21">
        <v>0.7727</v>
      </c>
      <c r="P57" s="21">
        <v>0.7826</v>
      </c>
      <c r="Q57" s="21">
        <v>0.6364</v>
      </c>
      <c r="R57" s="21">
        <v>0.7273</v>
      </c>
      <c r="S57" s="21">
        <v>0.7917</v>
      </c>
      <c r="T57" s="22">
        <v>0.7273</v>
      </c>
      <c r="U57" s="22">
        <v>0.7727</v>
      </c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15.75" customHeight="1">
      <c r="A58" s="18" t="s">
        <v>30</v>
      </c>
      <c r="B58" s="19" t="s">
        <v>31</v>
      </c>
      <c r="C58" s="19">
        <v>15.0</v>
      </c>
      <c r="D58" s="19">
        <v>1.5110525008E10</v>
      </c>
      <c r="E58" s="19">
        <v>2.51001008E8</v>
      </c>
      <c r="F58" s="19" t="s">
        <v>81</v>
      </c>
      <c r="G58" s="20" t="str">
        <f t="shared" si="6"/>
        <v>OK</v>
      </c>
      <c r="H58" s="20">
        <f t="shared" si="7"/>
        <v>5</v>
      </c>
      <c r="I58" s="20">
        <f t="shared" si="8"/>
        <v>255</v>
      </c>
      <c r="J58" s="20">
        <f t="shared" si="9"/>
        <v>0</v>
      </c>
      <c r="K58" s="23"/>
      <c r="L58" s="21">
        <v>0.0455</v>
      </c>
      <c r="M58" s="21">
        <v>1.0</v>
      </c>
      <c r="N58" s="21">
        <v>1.0</v>
      </c>
      <c r="O58" s="21">
        <v>0.9091</v>
      </c>
      <c r="P58" s="21">
        <v>0.9565</v>
      </c>
      <c r="Q58" s="21">
        <v>0.8182</v>
      </c>
      <c r="R58" s="21">
        <v>0.8182</v>
      </c>
      <c r="S58" s="21">
        <v>0.9583</v>
      </c>
      <c r="T58" s="22">
        <v>1.0</v>
      </c>
      <c r="U58" s="22">
        <v>1.0</v>
      </c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15.75" customHeight="1">
      <c r="A59" s="18" t="s">
        <v>30</v>
      </c>
      <c r="B59" s="19" t="s">
        <v>31</v>
      </c>
      <c r="C59" s="19">
        <v>16.0</v>
      </c>
      <c r="D59" s="19">
        <v>1.5110525011E10</v>
      </c>
      <c r="E59" s="19">
        <v>2.51001009E8</v>
      </c>
      <c r="F59" s="19" t="s">
        <v>82</v>
      </c>
      <c r="G59" s="20" t="str">
        <f t="shared" si="6"/>
        <v>Pending</v>
      </c>
      <c r="H59" s="20">
        <f t="shared" si="7"/>
        <v>-71</v>
      </c>
      <c r="I59" s="20">
        <f t="shared" si="8"/>
        <v>26</v>
      </c>
      <c r="J59" s="20">
        <f t="shared" si="9"/>
        <v>214</v>
      </c>
      <c r="K59" s="23"/>
      <c r="L59" s="21">
        <v>0.0</v>
      </c>
      <c r="M59" s="21">
        <v>0.0</v>
      </c>
      <c r="N59" s="21">
        <v>0.0</v>
      </c>
      <c r="O59" s="21">
        <v>0.0455</v>
      </c>
      <c r="P59" s="21">
        <v>0.0</v>
      </c>
      <c r="Q59" s="21">
        <v>0.0455</v>
      </c>
      <c r="R59" s="21">
        <v>0.3182</v>
      </c>
      <c r="S59" s="21">
        <v>0.3333</v>
      </c>
      <c r="T59" s="22">
        <v>0.0455</v>
      </c>
      <c r="U59" s="22">
        <v>0.0909</v>
      </c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15.75" customHeight="1">
      <c r="A60" s="18" t="s">
        <v>30</v>
      </c>
      <c r="B60" s="19" t="s">
        <v>31</v>
      </c>
      <c r="C60" s="19">
        <v>17.0</v>
      </c>
      <c r="D60" s="19">
        <v>1.5110525006E10</v>
      </c>
      <c r="E60" s="19">
        <v>2.5100101E8</v>
      </c>
      <c r="F60" s="19" t="s">
        <v>83</v>
      </c>
      <c r="G60" s="20" t="str">
        <f t="shared" si="6"/>
        <v>OK</v>
      </c>
      <c r="H60" s="20">
        <f t="shared" si="7"/>
        <v>1</v>
      </c>
      <c r="I60" s="20">
        <f t="shared" si="8"/>
        <v>242</v>
      </c>
      <c r="J60" s="20">
        <f t="shared" si="9"/>
        <v>0</v>
      </c>
      <c r="K60" s="23"/>
      <c r="L60" s="21">
        <v>0.1818</v>
      </c>
      <c r="M60" s="21">
        <v>0.8824</v>
      </c>
      <c r="N60" s="21">
        <v>0.9091</v>
      </c>
      <c r="O60" s="21">
        <v>0.8636</v>
      </c>
      <c r="P60" s="21">
        <v>0.913</v>
      </c>
      <c r="Q60" s="21">
        <v>0.6818</v>
      </c>
      <c r="R60" s="21">
        <v>0.8182</v>
      </c>
      <c r="S60" s="21">
        <v>0.9583</v>
      </c>
      <c r="T60" s="22">
        <v>1.0</v>
      </c>
      <c r="U60" s="22">
        <v>0.8636</v>
      </c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15.75" customHeight="1">
      <c r="A61" s="18" t="s">
        <v>30</v>
      </c>
      <c r="B61" s="19" t="s">
        <v>31</v>
      </c>
      <c r="C61" s="19">
        <v>18.0</v>
      </c>
      <c r="D61" s="19">
        <v>1.511052501E10</v>
      </c>
      <c r="E61" s="19">
        <v>2.51001011E8</v>
      </c>
      <c r="F61" s="19" t="s">
        <v>84</v>
      </c>
      <c r="G61" s="20" t="str">
        <f t="shared" si="6"/>
        <v>Pending</v>
      </c>
      <c r="H61" s="20">
        <f t="shared" si="7"/>
        <v>-73</v>
      </c>
      <c r="I61" s="20">
        <f t="shared" si="8"/>
        <v>21</v>
      </c>
      <c r="J61" s="20">
        <f t="shared" si="9"/>
        <v>219</v>
      </c>
      <c r="K61" s="23"/>
      <c r="L61" s="21">
        <v>0.0</v>
      </c>
      <c r="M61" s="21">
        <v>0.0</v>
      </c>
      <c r="N61" s="21">
        <v>0.0</v>
      </c>
      <c r="O61" s="21">
        <v>0.0455</v>
      </c>
      <c r="P61" s="21">
        <v>0.0</v>
      </c>
      <c r="Q61" s="21">
        <v>0.0455</v>
      </c>
      <c r="R61" s="21">
        <v>0.3182</v>
      </c>
      <c r="S61" s="21">
        <v>0.25</v>
      </c>
      <c r="T61" s="22">
        <v>0.0455</v>
      </c>
      <c r="U61" s="22">
        <v>0.0</v>
      </c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15.75" customHeight="1">
      <c r="A62" s="18" t="s">
        <v>30</v>
      </c>
      <c r="B62" s="19" t="s">
        <v>31</v>
      </c>
      <c r="C62" s="19">
        <v>19.0</v>
      </c>
      <c r="D62" s="19">
        <v>1.5110525024E10</v>
      </c>
      <c r="E62" s="19">
        <v>2.51001012E8</v>
      </c>
      <c r="F62" s="19" t="s">
        <v>85</v>
      </c>
      <c r="G62" s="20" t="str">
        <f t="shared" si="6"/>
        <v>OK</v>
      </c>
      <c r="H62" s="20">
        <f t="shared" si="7"/>
        <v>2</v>
      </c>
      <c r="I62" s="20">
        <f t="shared" si="8"/>
        <v>245</v>
      </c>
      <c r="J62" s="20">
        <f t="shared" si="9"/>
        <v>0</v>
      </c>
      <c r="K62" s="23"/>
      <c r="L62" s="21">
        <v>0.7727</v>
      </c>
      <c r="M62" s="21">
        <v>0.9412</v>
      </c>
      <c r="N62" s="21">
        <v>0.7727</v>
      </c>
      <c r="O62" s="21">
        <v>0.9545</v>
      </c>
      <c r="P62" s="21">
        <v>0.9565</v>
      </c>
      <c r="Q62" s="21">
        <v>0.6364</v>
      </c>
      <c r="R62" s="21">
        <v>0.8182</v>
      </c>
      <c r="S62" s="21">
        <v>0.9167</v>
      </c>
      <c r="T62" s="22">
        <v>0.9091</v>
      </c>
      <c r="U62" s="22">
        <v>0.5</v>
      </c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15.75" customHeight="1">
      <c r="A63" s="18" t="s">
        <v>30</v>
      </c>
      <c r="B63" s="19" t="s">
        <v>31</v>
      </c>
      <c r="C63" s="19">
        <v>20.0</v>
      </c>
      <c r="D63" s="19">
        <v>1.5110525003E10</v>
      </c>
      <c r="E63" s="19">
        <v>2.51001013E8</v>
      </c>
      <c r="F63" s="19" t="s">
        <v>86</v>
      </c>
      <c r="G63" s="20" t="str">
        <f t="shared" si="6"/>
        <v>Pending</v>
      </c>
      <c r="H63" s="20">
        <f t="shared" si="7"/>
        <v>-71</v>
      </c>
      <c r="I63" s="20">
        <f t="shared" si="8"/>
        <v>26</v>
      </c>
      <c r="J63" s="20">
        <f t="shared" si="9"/>
        <v>214</v>
      </c>
      <c r="K63" s="23"/>
      <c r="L63" s="21">
        <v>0.0455</v>
      </c>
      <c r="M63" s="21">
        <v>0.0588</v>
      </c>
      <c r="N63" s="21">
        <v>0.0455</v>
      </c>
      <c r="O63" s="21">
        <v>0.0</v>
      </c>
      <c r="P63" s="21">
        <v>0.0</v>
      </c>
      <c r="Q63" s="21">
        <v>0.0909</v>
      </c>
      <c r="R63" s="21">
        <v>0.3182</v>
      </c>
      <c r="S63" s="21">
        <v>0.25</v>
      </c>
      <c r="T63" s="22">
        <v>0.0455</v>
      </c>
      <c r="U63" s="22">
        <v>0.0</v>
      </c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15.75" customHeight="1">
      <c r="A64" s="18" t="s">
        <v>30</v>
      </c>
      <c r="B64" s="19" t="s">
        <v>31</v>
      </c>
      <c r="C64" s="19">
        <v>21.0</v>
      </c>
      <c r="D64" s="19">
        <v>1.5110525022E10</v>
      </c>
      <c r="E64" s="19">
        <v>2.51001014E8</v>
      </c>
      <c r="F64" s="19" t="s">
        <v>87</v>
      </c>
      <c r="G64" s="20" t="str">
        <f t="shared" si="6"/>
        <v>OK</v>
      </c>
      <c r="H64" s="20">
        <f t="shared" si="7"/>
        <v>10</v>
      </c>
      <c r="I64" s="20">
        <f t="shared" si="8"/>
        <v>269</v>
      </c>
      <c r="J64" s="20">
        <f t="shared" si="9"/>
        <v>0</v>
      </c>
      <c r="K64" s="23"/>
      <c r="L64" s="21">
        <v>0.6818</v>
      </c>
      <c r="M64" s="21">
        <v>0.7647</v>
      </c>
      <c r="N64" s="21">
        <v>0.8182</v>
      </c>
      <c r="O64" s="21">
        <v>0.9091</v>
      </c>
      <c r="P64" s="21">
        <v>0.913</v>
      </c>
      <c r="Q64" s="21">
        <v>1.0</v>
      </c>
      <c r="R64" s="21">
        <v>0.9545</v>
      </c>
      <c r="S64" s="21">
        <v>0.9167</v>
      </c>
      <c r="T64" s="22">
        <v>1.0</v>
      </c>
      <c r="U64" s="22">
        <v>1.0</v>
      </c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15.75" customHeight="1">
      <c r="A65" s="18" t="s">
        <v>30</v>
      </c>
      <c r="B65" s="19" t="s">
        <v>31</v>
      </c>
      <c r="C65" s="19">
        <v>22.0</v>
      </c>
      <c r="D65" s="19">
        <v>1.5110525034E10</v>
      </c>
      <c r="E65" s="19">
        <v>2.51001015E8</v>
      </c>
      <c r="F65" s="19" t="s">
        <v>88</v>
      </c>
      <c r="G65" s="20" t="str">
        <f t="shared" si="6"/>
        <v>Pending</v>
      </c>
      <c r="H65" s="20">
        <f t="shared" si="7"/>
        <v>-67</v>
      </c>
      <c r="I65" s="20">
        <f t="shared" si="8"/>
        <v>39</v>
      </c>
      <c r="J65" s="20">
        <f t="shared" si="9"/>
        <v>201</v>
      </c>
      <c r="K65" s="23"/>
      <c r="L65" s="21">
        <v>0.0909</v>
      </c>
      <c r="M65" s="21">
        <v>0.4706</v>
      </c>
      <c r="N65" s="21">
        <v>0.5455</v>
      </c>
      <c r="O65" s="21">
        <v>0.0</v>
      </c>
      <c r="P65" s="21">
        <v>0.0435</v>
      </c>
      <c r="Q65" s="21">
        <v>0.1364</v>
      </c>
      <c r="R65" s="21">
        <v>0.0</v>
      </c>
      <c r="S65" s="21">
        <v>0.0</v>
      </c>
      <c r="T65" s="22">
        <v>0.0</v>
      </c>
      <c r="U65" s="22">
        <v>0.0</v>
      </c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15.75" customHeight="1">
      <c r="A66" s="18" t="s">
        <v>30</v>
      </c>
      <c r="B66" s="19" t="s">
        <v>31</v>
      </c>
      <c r="C66" s="19">
        <v>23.0</v>
      </c>
      <c r="D66" s="19">
        <v>1.5110525036E10</v>
      </c>
      <c r="E66" s="19">
        <v>2.55001001E8</v>
      </c>
      <c r="F66" s="19" t="s">
        <v>89</v>
      </c>
      <c r="G66" s="20" t="str">
        <f t="shared" si="6"/>
        <v>OK</v>
      </c>
      <c r="H66" s="20">
        <f t="shared" si="7"/>
        <v>1</v>
      </c>
      <c r="I66" s="20">
        <f t="shared" si="8"/>
        <v>243</v>
      </c>
      <c r="J66" s="20">
        <f t="shared" si="9"/>
        <v>0</v>
      </c>
      <c r="K66" s="23"/>
      <c r="L66" s="21">
        <v>0.0</v>
      </c>
      <c r="M66" s="21">
        <v>0.6471</v>
      </c>
      <c r="N66" s="21">
        <v>0.9545</v>
      </c>
      <c r="O66" s="21">
        <v>0.9091</v>
      </c>
      <c r="P66" s="21">
        <v>1.0</v>
      </c>
      <c r="Q66" s="21">
        <v>1.0</v>
      </c>
      <c r="R66" s="21">
        <v>0.9545</v>
      </c>
      <c r="S66" s="21">
        <v>0.875</v>
      </c>
      <c r="T66" s="22">
        <v>0.8182</v>
      </c>
      <c r="U66" s="22">
        <v>0.9545</v>
      </c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15.75" customHeight="1">
      <c r="A67" s="18" t="s">
        <v>30</v>
      </c>
      <c r="B67" s="19" t="s">
        <v>31</v>
      </c>
      <c r="C67" s="19">
        <v>24.0</v>
      </c>
      <c r="D67" s="19">
        <v>1.5110525035E10</v>
      </c>
      <c r="E67" s="19">
        <v>2.55001002E8</v>
      </c>
      <c r="F67" s="19" t="s">
        <v>90</v>
      </c>
      <c r="G67" s="20" t="str">
        <f t="shared" si="6"/>
        <v>OK</v>
      </c>
      <c r="H67" s="20">
        <f t="shared" si="7"/>
        <v>7</v>
      </c>
      <c r="I67" s="20">
        <f t="shared" si="8"/>
        <v>262</v>
      </c>
      <c r="J67" s="20">
        <f t="shared" si="9"/>
        <v>0</v>
      </c>
      <c r="K67" s="23"/>
      <c r="L67" s="21">
        <v>0.5455</v>
      </c>
      <c r="M67" s="21">
        <v>1.0</v>
      </c>
      <c r="N67" s="21">
        <v>0.9091</v>
      </c>
      <c r="O67" s="21">
        <v>0.9545</v>
      </c>
      <c r="P67" s="21">
        <v>1.0</v>
      </c>
      <c r="Q67" s="21">
        <v>0.7273</v>
      </c>
      <c r="R67" s="21">
        <v>0.9545</v>
      </c>
      <c r="S67" s="21">
        <v>0.9167</v>
      </c>
      <c r="T67" s="22">
        <v>0.9545</v>
      </c>
      <c r="U67" s="22">
        <v>0.7727</v>
      </c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15.75" customHeight="1">
      <c r="A68" s="4"/>
      <c r="B68" s="4"/>
      <c r="C68" s="4"/>
      <c r="D68" s="4"/>
      <c r="E68" s="4"/>
      <c r="F68" s="24">
        <f>COUNTA(F44:F67)</f>
        <v>24</v>
      </c>
      <c r="G68" s="20" t="str">
        <f t="shared" si="6"/>
        <v>Pending</v>
      </c>
      <c r="H68" s="20">
        <f t="shared" si="7"/>
        <v>-11</v>
      </c>
      <c r="I68" s="20">
        <f t="shared" si="8"/>
        <v>208</v>
      </c>
      <c r="J68" s="20">
        <f t="shared" si="9"/>
        <v>32</v>
      </c>
      <c r="K68" s="25"/>
      <c r="L68" s="26">
        <f t="shared" ref="L68:Z68" si="10">SUM(L44:L67)/$F$68</f>
        <v>0.5151541667</v>
      </c>
      <c r="M68" s="26">
        <f t="shared" si="10"/>
        <v>0.7720666667</v>
      </c>
      <c r="N68" s="26">
        <f t="shared" si="10"/>
        <v>0.7102291667</v>
      </c>
      <c r="O68" s="26">
        <f t="shared" si="10"/>
        <v>0.710225</v>
      </c>
      <c r="P68" s="26">
        <f t="shared" si="10"/>
        <v>0.71195</v>
      </c>
      <c r="Q68" s="26">
        <f t="shared" si="10"/>
        <v>0.6553083333</v>
      </c>
      <c r="R68" s="26">
        <f t="shared" si="10"/>
        <v>0.6893833333</v>
      </c>
      <c r="S68" s="26">
        <f t="shared" si="10"/>
        <v>0.7309</v>
      </c>
      <c r="T68" s="26">
        <f t="shared" si="10"/>
        <v>0.7386416667</v>
      </c>
      <c r="U68" s="26">
        <f t="shared" si="10"/>
        <v>0.6874916667</v>
      </c>
      <c r="V68" s="26">
        <f t="shared" si="10"/>
        <v>0</v>
      </c>
      <c r="W68" s="26">
        <f t="shared" si="10"/>
        <v>0</v>
      </c>
      <c r="X68" s="26">
        <f t="shared" si="10"/>
        <v>0</v>
      </c>
      <c r="Y68" s="26">
        <f t="shared" si="10"/>
        <v>0</v>
      </c>
      <c r="Z68" s="26">
        <f t="shared" si="10"/>
        <v>0</v>
      </c>
      <c r="AA68" s="4"/>
      <c r="AB68" s="4"/>
      <c r="AC68" s="4"/>
      <c r="AD68" s="4"/>
      <c r="AE68" s="4"/>
    </row>
    <row r="69" ht="18.75" customHeight="1">
      <c r="A69" s="5" t="s">
        <v>91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33"/>
      <c r="M69" s="33"/>
      <c r="N69" s="33"/>
      <c r="O69" s="33"/>
      <c r="P69" s="33"/>
      <c r="Q69" s="33"/>
      <c r="R69" s="33"/>
      <c r="S69" s="3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15.75" customHeight="1">
      <c r="A70" s="35" t="s">
        <v>4</v>
      </c>
      <c r="B70" s="36" t="s">
        <v>5</v>
      </c>
      <c r="C70" s="36" t="s">
        <v>6</v>
      </c>
      <c r="D70" s="36" t="s">
        <v>7</v>
      </c>
      <c r="E70" s="36" t="s">
        <v>8</v>
      </c>
      <c r="F70" s="36" t="s">
        <v>9</v>
      </c>
      <c r="G70" s="20"/>
      <c r="H70" s="20"/>
      <c r="I70" s="20"/>
      <c r="J70" s="20"/>
      <c r="K70" s="23"/>
      <c r="L70" s="23"/>
      <c r="M70" s="23"/>
      <c r="N70" s="23"/>
      <c r="O70" s="2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5.75" customHeight="1">
      <c r="A71" s="18" t="s">
        <v>30</v>
      </c>
      <c r="B71" s="19" t="s">
        <v>31</v>
      </c>
      <c r="C71" s="19">
        <v>1.0</v>
      </c>
      <c r="D71" s="19">
        <v>1.5110524004E10</v>
      </c>
      <c r="E71" s="19">
        <v>2.41001001E8</v>
      </c>
      <c r="F71" s="19" t="s">
        <v>92</v>
      </c>
      <c r="G71" s="20" t="str">
        <f t="shared" ref="G71:G90" si="11">IF(H71&gt;=0,"OK",IF(K71&gt;=J71,"Completed","Pending"))</f>
        <v>Pending</v>
      </c>
      <c r="H71" s="20">
        <f t="shared" ref="H71:H90" si="12">round((((((L71*100)*$L$5)+((M71*100)*$M$5)+((N71*100)*$N$5)+((O71*100)*$O$5)+((P71*100)*$P$5)+((Q71*100)*$Q$5)+((R71*100)*$R$5)+((S71*100)*$S$5)+((T71*100)*$T$5)+((U71*100)*$U$5)+((V71*100)*$V$5)+((W71*100)*$W$5)+((X71*100)*$X$5)+((Y71*100)*$Y$5)+((Z71*100)*$Z$5)++((W71*100)*$W$5)+((AA71*100)*$AA$5))/($L$5+$M$5+$N$5+$O$5+$P$5+$Q$5+$R$5+$S$5+$T$5+$V$5+$U$5+$W$5+$X$5+$Y$5+$Z$5+$AA$5))-80),0)</f>
        <v>-21</v>
      </c>
      <c r="I71" s="20">
        <f t="shared" ref="I71:I90" si="13">round(30*((L71*$L$5)+(M71*$M$5)+(N71*$N$5)+(O71*$O$5)+(P71*$P$5)+(Q71*$Q$5)+(R71*$R$5)+(S71*$S$5)+(T71*$T$5)+(U71*$U$5)+(V71*$V$5)+(W71*$W$5)+(X71*$X$5)+(Y71*$Y$5)+(Z71*$Z$5)+(AA71*$AA$5)),0)</f>
        <v>177</v>
      </c>
      <c r="J71" s="20">
        <f t="shared" ref="J71:J90" si="14">if(I71&lt;(24*($L$5+$M$5+$N$5+$O$5+$P$5+$Q$5+$R$5+$S$5+$T$5+$V$5+$U$5+$W$5+$X$5+$Y$5+$Z$5+$AA$5)),abs(I71-(24*($L$5+$M$5+$N$5+$O$5+$P$5+$Q$5+$R$5+$S$5+$T$5+$V$5+$U$5+$W$5+$X$5+$Y$5+$Z$5+$AA$5))),0)</f>
        <v>63</v>
      </c>
      <c r="K71" s="23"/>
      <c r="L71" s="21">
        <v>0.3125</v>
      </c>
      <c r="M71" s="21">
        <v>0.7692</v>
      </c>
      <c r="N71" s="21">
        <v>0.75</v>
      </c>
      <c r="O71" s="21">
        <v>0.8125</v>
      </c>
      <c r="P71" s="21">
        <v>0.75</v>
      </c>
      <c r="Q71" s="21">
        <v>0.8125</v>
      </c>
      <c r="R71" s="21">
        <v>0.2353</v>
      </c>
      <c r="S71" s="21">
        <v>0.7778</v>
      </c>
      <c r="T71" s="22">
        <v>0.6667</v>
      </c>
      <c r="U71" s="22">
        <v>0.0</v>
      </c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5.75" customHeight="1">
      <c r="A72" s="18" t="s">
        <v>30</v>
      </c>
      <c r="B72" s="19" t="s">
        <v>31</v>
      </c>
      <c r="C72" s="19">
        <v>2.0</v>
      </c>
      <c r="D72" s="19">
        <v>1.5110524019E10</v>
      </c>
      <c r="E72" s="19">
        <v>2.41001002E8</v>
      </c>
      <c r="F72" s="19" t="s">
        <v>93</v>
      </c>
      <c r="G72" s="20" t="str">
        <f t="shared" si="11"/>
        <v>OK</v>
      </c>
      <c r="H72" s="20">
        <f t="shared" si="12"/>
        <v>4</v>
      </c>
      <c r="I72" s="20">
        <f t="shared" si="13"/>
        <v>251</v>
      </c>
      <c r="J72" s="20">
        <f t="shared" si="14"/>
        <v>0</v>
      </c>
      <c r="K72" s="23"/>
      <c r="L72" s="21">
        <v>0.6875</v>
      </c>
      <c r="M72" s="21">
        <v>0.5385</v>
      </c>
      <c r="N72" s="21">
        <v>0.9</v>
      </c>
      <c r="O72" s="21">
        <v>1.0</v>
      </c>
      <c r="P72" s="21">
        <v>1.0</v>
      </c>
      <c r="Q72" s="21">
        <v>0.8125</v>
      </c>
      <c r="R72" s="21">
        <v>0.7647</v>
      </c>
      <c r="S72" s="21">
        <v>0.6667</v>
      </c>
      <c r="T72" s="22">
        <v>1.0</v>
      </c>
      <c r="U72" s="22">
        <v>1.0</v>
      </c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5.75" customHeight="1">
      <c r="A73" s="18" t="s">
        <v>30</v>
      </c>
      <c r="B73" s="19" t="s">
        <v>31</v>
      </c>
      <c r="C73" s="19">
        <v>3.0</v>
      </c>
      <c r="D73" s="19">
        <v>1.5110524013E10</v>
      </c>
      <c r="E73" s="19">
        <v>2.41001003E8</v>
      </c>
      <c r="F73" s="19" t="s">
        <v>94</v>
      </c>
      <c r="G73" s="20" t="str">
        <f t="shared" si="11"/>
        <v>Pending</v>
      </c>
      <c r="H73" s="20">
        <f t="shared" si="12"/>
        <v>-4</v>
      </c>
      <c r="I73" s="20">
        <f t="shared" si="13"/>
        <v>228</v>
      </c>
      <c r="J73" s="20">
        <f t="shared" si="14"/>
        <v>12</v>
      </c>
      <c r="K73" s="23"/>
      <c r="L73" s="21">
        <v>0.0625</v>
      </c>
      <c r="M73" s="21">
        <v>0.2308</v>
      </c>
      <c r="N73" s="21">
        <v>0.95</v>
      </c>
      <c r="O73" s="21">
        <v>1.0</v>
      </c>
      <c r="P73" s="21">
        <v>0.9375</v>
      </c>
      <c r="Q73" s="21">
        <v>0.875</v>
      </c>
      <c r="R73" s="21">
        <v>0.8235</v>
      </c>
      <c r="S73" s="21">
        <v>0.8333</v>
      </c>
      <c r="T73" s="22">
        <v>0.9444</v>
      </c>
      <c r="U73" s="22">
        <v>0.9375</v>
      </c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5.75" customHeight="1">
      <c r="A74" s="18" t="s">
        <v>30</v>
      </c>
      <c r="B74" s="19" t="s">
        <v>31</v>
      </c>
      <c r="C74" s="19">
        <v>4.0</v>
      </c>
      <c r="D74" s="19">
        <v>1.511052402E10</v>
      </c>
      <c r="E74" s="19">
        <v>2.41001004E8</v>
      </c>
      <c r="F74" s="19" t="s">
        <v>95</v>
      </c>
      <c r="G74" s="20" t="str">
        <f t="shared" si="11"/>
        <v>OK</v>
      </c>
      <c r="H74" s="20">
        <f t="shared" si="12"/>
        <v>7</v>
      </c>
      <c r="I74" s="20">
        <f t="shared" si="13"/>
        <v>261</v>
      </c>
      <c r="J74" s="20">
        <f t="shared" si="14"/>
        <v>0</v>
      </c>
      <c r="K74" s="23"/>
      <c r="L74" s="21">
        <v>0.875</v>
      </c>
      <c r="M74" s="21">
        <v>0.9231</v>
      </c>
      <c r="N74" s="21">
        <v>0.8</v>
      </c>
      <c r="O74" s="21">
        <v>0.9375</v>
      </c>
      <c r="P74" s="21">
        <v>0.875</v>
      </c>
      <c r="Q74" s="21">
        <v>0.9375</v>
      </c>
      <c r="R74" s="21">
        <v>0.8824</v>
      </c>
      <c r="S74" s="21">
        <v>0.7222</v>
      </c>
      <c r="T74" s="22">
        <v>0.9444</v>
      </c>
      <c r="U74" s="22">
        <v>0.8125</v>
      </c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5.75" customHeight="1">
      <c r="A75" s="18" t="s">
        <v>30</v>
      </c>
      <c r="B75" s="19" t="s">
        <v>31</v>
      </c>
      <c r="C75" s="19">
        <v>5.0</v>
      </c>
      <c r="D75" s="19">
        <v>1.5110524012E10</v>
      </c>
      <c r="E75" s="19">
        <v>2.41001005E8</v>
      </c>
      <c r="F75" s="19" t="s">
        <v>96</v>
      </c>
      <c r="G75" s="20" t="str">
        <f t="shared" si="11"/>
        <v>Pending</v>
      </c>
      <c r="H75" s="20">
        <f t="shared" si="12"/>
        <v>-8</v>
      </c>
      <c r="I75" s="20">
        <f t="shared" si="13"/>
        <v>217</v>
      </c>
      <c r="J75" s="20">
        <f t="shared" si="14"/>
        <v>23</v>
      </c>
      <c r="K75" s="23"/>
      <c r="L75" s="21">
        <v>0.8125</v>
      </c>
      <c r="M75" s="21">
        <v>0.8462</v>
      </c>
      <c r="N75" s="21">
        <v>0.9</v>
      </c>
      <c r="O75" s="21">
        <v>0.875</v>
      </c>
      <c r="P75" s="21">
        <v>0.5625</v>
      </c>
      <c r="Q75" s="21">
        <v>0.6875</v>
      </c>
      <c r="R75" s="21">
        <v>0.5882</v>
      </c>
      <c r="S75" s="21">
        <v>0.5556</v>
      </c>
      <c r="T75" s="22">
        <v>0.7222</v>
      </c>
      <c r="U75" s="22">
        <v>0.6875</v>
      </c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15.75" customHeight="1">
      <c r="A76" s="18" t="s">
        <v>30</v>
      </c>
      <c r="B76" s="19" t="s">
        <v>31</v>
      </c>
      <c r="C76" s="19">
        <v>6.0</v>
      </c>
      <c r="D76" s="19">
        <v>1.5110524026E10</v>
      </c>
      <c r="E76" s="19">
        <v>2.41001006E8</v>
      </c>
      <c r="F76" s="19" t="s">
        <v>97</v>
      </c>
      <c r="G76" s="20" t="str">
        <f t="shared" si="11"/>
        <v>Pending</v>
      </c>
      <c r="H76" s="20">
        <f t="shared" si="12"/>
        <v>-22</v>
      </c>
      <c r="I76" s="20">
        <f t="shared" si="13"/>
        <v>175</v>
      </c>
      <c r="J76" s="20">
        <f t="shared" si="14"/>
        <v>65</v>
      </c>
      <c r="K76" s="23"/>
      <c r="L76" s="21">
        <v>0.3125</v>
      </c>
      <c r="M76" s="21">
        <v>0.6154</v>
      </c>
      <c r="N76" s="21">
        <v>0.4</v>
      </c>
      <c r="O76" s="21">
        <v>0.375</v>
      </c>
      <c r="P76" s="21">
        <v>0.5625</v>
      </c>
      <c r="Q76" s="21">
        <v>0.8125</v>
      </c>
      <c r="R76" s="21">
        <v>0.4118</v>
      </c>
      <c r="S76" s="21">
        <v>0.8333</v>
      </c>
      <c r="T76" s="22">
        <v>0.9444</v>
      </c>
      <c r="U76" s="22">
        <v>0.5625</v>
      </c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5.75" customHeight="1">
      <c r="A77" s="18" t="s">
        <v>30</v>
      </c>
      <c r="B77" s="19" t="s">
        <v>31</v>
      </c>
      <c r="C77" s="19">
        <v>7.0</v>
      </c>
      <c r="D77" s="19">
        <v>1.5110524005E10</v>
      </c>
      <c r="E77" s="19">
        <v>2.41001007E8</v>
      </c>
      <c r="F77" s="19" t="s">
        <v>98</v>
      </c>
      <c r="G77" s="20" t="str">
        <f t="shared" si="11"/>
        <v>Pending</v>
      </c>
      <c r="H77" s="20">
        <f t="shared" si="12"/>
        <v>-27</v>
      </c>
      <c r="I77" s="20">
        <f t="shared" si="13"/>
        <v>159</v>
      </c>
      <c r="J77" s="20">
        <f t="shared" si="14"/>
        <v>81</v>
      </c>
      <c r="K77" s="23"/>
      <c r="L77" s="21">
        <v>0.1875</v>
      </c>
      <c r="M77" s="21">
        <v>0.8462</v>
      </c>
      <c r="N77" s="21">
        <v>0.7</v>
      </c>
      <c r="O77" s="21">
        <v>0.6875</v>
      </c>
      <c r="P77" s="21">
        <v>0.6875</v>
      </c>
      <c r="Q77" s="21">
        <v>0.5625</v>
      </c>
      <c r="R77" s="21">
        <v>0.2353</v>
      </c>
      <c r="S77" s="21">
        <v>0.7222</v>
      </c>
      <c r="T77" s="22">
        <v>0.6667</v>
      </c>
      <c r="U77" s="22">
        <v>0.0</v>
      </c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5.75" customHeight="1">
      <c r="A78" s="18" t="s">
        <v>30</v>
      </c>
      <c r="B78" s="19" t="s">
        <v>31</v>
      </c>
      <c r="C78" s="19">
        <v>8.0</v>
      </c>
      <c r="D78" s="19">
        <v>1.5110524011E10</v>
      </c>
      <c r="E78" s="19">
        <v>2.41001008E8</v>
      </c>
      <c r="F78" s="19" t="s">
        <v>99</v>
      </c>
      <c r="G78" s="20" t="str">
        <f t="shared" si="11"/>
        <v>OK</v>
      </c>
      <c r="H78" s="20">
        <f t="shared" si="12"/>
        <v>20</v>
      </c>
      <c r="I78" s="20">
        <f t="shared" si="13"/>
        <v>300</v>
      </c>
      <c r="J78" s="20">
        <f t="shared" si="14"/>
        <v>0</v>
      </c>
      <c r="K78" s="23"/>
      <c r="L78" s="21">
        <v>1.0</v>
      </c>
      <c r="M78" s="21">
        <v>1.0</v>
      </c>
      <c r="N78" s="21">
        <v>1.0</v>
      </c>
      <c r="O78" s="21">
        <v>1.0</v>
      </c>
      <c r="P78" s="21">
        <v>1.0</v>
      </c>
      <c r="Q78" s="21">
        <v>1.0</v>
      </c>
      <c r="R78" s="21">
        <v>1.0</v>
      </c>
      <c r="S78" s="21">
        <v>1.0</v>
      </c>
      <c r="T78" s="22">
        <v>1.0</v>
      </c>
      <c r="U78" s="22">
        <v>1.0</v>
      </c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5.75" customHeight="1">
      <c r="A79" s="18" t="s">
        <v>30</v>
      </c>
      <c r="B79" s="19" t="s">
        <v>31</v>
      </c>
      <c r="C79" s="19">
        <v>9.0</v>
      </c>
      <c r="D79" s="19">
        <v>1.5110524009E10</v>
      </c>
      <c r="E79" s="19">
        <v>2.4100101E8</v>
      </c>
      <c r="F79" s="19" t="s">
        <v>100</v>
      </c>
      <c r="G79" s="20" t="str">
        <f t="shared" si="11"/>
        <v>Pending</v>
      </c>
      <c r="H79" s="20">
        <f t="shared" si="12"/>
        <v>-60</v>
      </c>
      <c r="I79" s="20">
        <f t="shared" si="13"/>
        <v>59</v>
      </c>
      <c r="J79" s="20">
        <f t="shared" si="14"/>
        <v>181</v>
      </c>
      <c r="K79" s="23"/>
      <c r="L79" s="21">
        <v>0.25</v>
      </c>
      <c r="M79" s="21">
        <v>0.0</v>
      </c>
      <c r="N79" s="21">
        <v>0.15</v>
      </c>
      <c r="O79" s="21">
        <v>0.25</v>
      </c>
      <c r="P79" s="21">
        <v>0.25</v>
      </c>
      <c r="Q79" s="21">
        <v>0.1875</v>
      </c>
      <c r="R79" s="21">
        <v>0.2353</v>
      </c>
      <c r="S79" s="21">
        <v>0.2778</v>
      </c>
      <c r="T79" s="22">
        <v>0.1667</v>
      </c>
      <c r="U79" s="22">
        <v>0.1875</v>
      </c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5.75" customHeight="1">
      <c r="A80" s="18" t="s">
        <v>30</v>
      </c>
      <c r="B80" s="19" t="s">
        <v>31</v>
      </c>
      <c r="C80" s="19">
        <v>10.0</v>
      </c>
      <c r="D80" s="19">
        <v>1.511052401E10</v>
      </c>
      <c r="E80" s="19">
        <v>2.41001012E8</v>
      </c>
      <c r="F80" s="19" t="s">
        <v>101</v>
      </c>
      <c r="G80" s="20" t="str">
        <f t="shared" si="11"/>
        <v>Pending</v>
      </c>
      <c r="H80" s="20">
        <f t="shared" si="12"/>
        <v>-26</v>
      </c>
      <c r="I80" s="20">
        <f t="shared" si="13"/>
        <v>163</v>
      </c>
      <c r="J80" s="20">
        <f t="shared" si="14"/>
        <v>77</v>
      </c>
      <c r="K80" s="23"/>
      <c r="L80" s="21">
        <v>0.0625</v>
      </c>
      <c r="M80" s="21">
        <v>0.0</v>
      </c>
      <c r="N80" s="21">
        <v>0.65</v>
      </c>
      <c r="O80" s="21">
        <v>0.8125</v>
      </c>
      <c r="P80" s="21">
        <v>0.5</v>
      </c>
      <c r="Q80" s="21">
        <v>0.5625</v>
      </c>
      <c r="R80" s="21">
        <v>0.4706</v>
      </c>
      <c r="S80" s="21">
        <v>0.6111</v>
      </c>
      <c r="T80" s="22">
        <v>0.8333</v>
      </c>
      <c r="U80" s="22">
        <v>0.9375</v>
      </c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5.75" customHeight="1">
      <c r="A81" s="18" t="s">
        <v>30</v>
      </c>
      <c r="B81" s="19" t="s">
        <v>31</v>
      </c>
      <c r="C81" s="19">
        <v>11.0</v>
      </c>
      <c r="D81" s="19">
        <v>1.5110524003E10</v>
      </c>
      <c r="E81" s="19">
        <v>2.41001013E8</v>
      </c>
      <c r="F81" s="19" t="s">
        <v>102</v>
      </c>
      <c r="G81" s="20" t="str">
        <f t="shared" si="11"/>
        <v>Pending</v>
      </c>
      <c r="H81" s="20">
        <f t="shared" si="12"/>
        <v>-25</v>
      </c>
      <c r="I81" s="20">
        <f t="shared" si="13"/>
        <v>166</v>
      </c>
      <c r="J81" s="20">
        <f t="shared" si="14"/>
        <v>74</v>
      </c>
      <c r="K81" s="23"/>
      <c r="L81" s="21">
        <v>0.5625</v>
      </c>
      <c r="M81" s="21">
        <v>0.3846</v>
      </c>
      <c r="N81" s="21">
        <v>0.3</v>
      </c>
      <c r="O81" s="21">
        <v>0.75</v>
      </c>
      <c r="P81" s="21">
        <v>0.625</v>
      </c>
      <c r="Q81" s="21">
        <v>0.625</v>
      </c>
      <c r="R81" s="21">
        <v>0.4118</v>
      </c>
      <c r="S81" s="21">
        <v>0.2778</v>
      </c>
      <c r="T81" s="22">
        <v>0.7778</v>
      </c>
      <c r="U81" s="22">
        <v>0.8125</v>
      </c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5.75" customHeight="1">
      <c r="A82" s="18" t="s">
        <v>30</v>
      </c>
      <c r="B82" s="19" t="s">
        <v>31</v>
      </c>
      <c r="C82" s="19">
        <v>12.0</v>
      </c>
      <c r="D82" s="19">
        <v>1.5110524027E10</v>
      </c>
      <c r="E82" s="19">
        <v>2.41001014E8</v>
      </c>
      <c r="F82" s="19" t="s">
        <v>103</v>
      </c>
      <c r="G82" s="20" t="str">
        <f t="shared" si="11"/>
        <v>Pending</v>
      </c>
      <c r="H82" s="20">
        <f t="shared" si="12"/>
        <v>-16</v>
      </c>
      <c r="I82" s="20">
        <f t="shared" si="13"/>
        <v>192</v>
      </c>
      <c r="J82" s="20">
        <f t="shared" si="14"/>
        <v>48</v>
      </c>
      <c r="K82" s="23"/>
      <c r="L82" s="21">
        <v>0.4375</v>
      </c>
      <c r="M82" s="21">
        <v>0.7692</v>
      </c>
      <c r="N82" s="21">
        <v>0.7</v>
      </c>
      <c r="O82" s="21">
        <v>0.6875</v>
      </c>
      <c r="P82" s="21">
        <v>0.5625</v>
      </c>
      <c r="Q82" s="21">
        <v>0.5625</v>
      </c>
      <c r="R82" s="21">
        <v>0.4706</v>
      </c>
      <c r="S82" s="21">
        <v>0.6111</v>
      </c>
      <c r="T82" s="22">
        <v>0.8333</v>
      </c>
      <c r="U82" s="22">
        <v>0.75</v>
      </c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5.75" customHeight="1">
      <c r="A83" s="18" t="s">
        <v>30</v>
      </c>
      <c r="B83" s="19" t="s">
        <v>31</v>
      </c>
      <c r="C83" s="19">
        <v>13.0</v>
      </c>
      <c r="D83" s="19">
        <v>1.5110524015E10</v>
      </c>
      <c r="E83" s="19">
        <v>2.41001016E8</v>
      </c>
      <c r="F83" s="19" t="s">
        <v>104</v>
      </c>
      <c r="G83" s="20" t="str">
        <f t="shared" si="11"/>
        <v>OK</v>
      </c>
      <c r="H83" s="20">
        <f t="shared" si="12"/>
        <v>17</v>
      </c>
      <c r="I83" s="20">
        <f t="shared" si="13"/>
        <v>291</v>
      </c>
      <c r="J83" s="20">
        <f t="shared" si="14"/>
        <v>0</v>
      </c>
      <c r="K83" s="23"/>
      <c r="L83" s="21">
        <v>1.0</v>
      </c>
      <c r="M83" s="21">
        <v>1.0</v>
      </c>
      <c r="N83" s="21">
        <v>0.95</v>
      </c>
      <c r="O83" s="21">
        <v>0.9375</v>
      </c>
      <c r="P83" s="21">
        <v>0.9375</v>
      </c>
      <c r="Q83" s="21">
        <v>1.0</v>
      </c>
      <c r="R83" s="21">
        <v>1.0</v>
      </c>
      <c r="S83" s="21">
        <v>0.9444</v>
      </c>
      <c r="T83" s="22">
        <v>1.0</v>
      </c>
      <c r="U83" s="22">
        <v>0.9375</v>
      </c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5.75" customHeight="1">
      <c r="A84" s="18" t="s">
        <v>30</v>
      </c>
      <c r="B84" s="19" t="s">
        <v>31</v>
      </c>
      <c r="C84" s="19">
        <v>14.0</v>
      </c>
      <c r="D84" s="19">
        <v>1.5110524016E10</v>
      </c>
      <c r="E84" s="19">
        <v>2.41001017E8</v>
      </c>
      <c r="F84" s="19" t="s">
        <v>105</v>
      </c>
      <c r="G84" s="20" t="str">
        <f t="shared" si="11"/>
        <v>Pending</v>
      </c>
      <c r="H84" s="20">
        <f t="shared" si="12"/>
        <v>-2</v>
      </c>
      <c r="I84" s="20">
        <f t="shared" si="13"/>
        <v>233</v>
      </c>
      <c r="J84" s="20">
        <f t="shared" si="14"/>
        <v>7</v>
      </c>
      <c r="K84" s="23"/>
      <c r="L84" s="21">
        <v>0.75</v>
      </c>
      <c r="M84" s="21">
        <v>0.6923</v>
      </c>
      <c r="N84" s="21">
        <v>0.65</v>
      </c>
      <c r="O84" s="21">
        <v>0.875</v>
      </c>
      <c r="P84" s="21">
        <v>0.9375</v>
      </c>
      <c r="Q84" s="21">
        <v>0.6875</v>
      </c>
      <c r="R84" s="21">
        <v>0.6471</v>
      </c>
      <c r="S84" s="21">
        <v>0.7222</v>
      </c>
      <c r="T84" s="22">
        <v>0.9444</v>
      </c>
      <c r="U84" s="22">
        <v>0.875</v>
      </c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5.75" customHeight="1">
      <c r="A85" s="18" t="s">
        <v>30</v>
      </c>
      <c r="B85" s="19" t="s">
        <v>31</v>
      </c>
      <c r="C85" s="19">
        <v>15.0</v>
      </c>
      <c r="D85" s="19">
        <v>1.5110524033E10</v>
      </c>
      <c r="E85" s="19">
        <v>2.41001018E8</v>
      </c>
      <c r="F85" s="19" t="s">
        <v>106</v>
      </c>
      <c r="G85" s="20" t="str">
        <f t="shared" si="11"/>
        <v>Pending</v>
      </c>
      <c r="H85" s="20">
        <f t="shared" si="12"/>
        <v>-69</v>
      </c>
      <c r="I85" s="20">
        <f t="shared" si="13"/>
        <v>34</v>
      </c>
      <c r="J85" s="20">
        <f t="shared" si="14"/>
        <v>206</v>
      </c>
      <c r="K85" s="23"/>
      <c r="L85" s="21">
        <v>0.125</v>
      </c>
      <c r="M85" s="21">
        <v>0.0</v>
      </c>
      <c r="N85" s="21">
        <v>0.0</v>
      </c>
      <c r="O85" s="21">
        <v>0.0</v>
      </c>
      <c r="P85" s="21">
        <v>0.25</v>
      </c>
      <c r="Q85" s="21">
        <v>0.0625</v>
      </c>
      <c r="R85" s="21">
        <v>0.2941</v>
      </c>
      <c r="S85" s="21">
        <v>0.2222</v>
      </c>
      <c r="T85" s="22">
        <v>0.1111</v>
      </c>
      <c r="U85" s="22">
        <v>0.0625</v>
      </c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5.75" customHeight="1">
      <c r="A86" s="18" t="s">
        <v>30</v>
      </c>
      <c r="B86" s="19" t="s">
        <v>31</v>
      </c>
      <c r="C86" s="19">
        <v>16.0</v>
      </c>
      <c r="D86" s="19">
        <v>1.5110524025E10</v>
      </c>
      <c r="E86" s="19">
        <v>2.41001019E8</v>
      </c>
      <c r="F86" s="19" t="s">
        <v>107</v>
      </c>
      <c r="G86" s="20" t="str">
        <f t="shared" si="11"/>
        <v>OK</v>
      </c>
      <c r="H86" s="20">
        <f t="shared" si="12"/>
        <v>11</v>
      </c>
      <c r="I86" s="20">
        <f t="shared" si="13"/>
        <v>274</v>
      </c>
      <c r="J86" s="20">
        <f t="shared" si="14"/>
        <v>0</v>
      </c>
      <c r="K86" s="23"/>
      <c r="L86" s="21">
        <v>0.25</v>
      </c>
      <c r="M86" s="21">
        <v>1.0</v>
      </c>
      <c r="N86" s="21">
        <v>1.0</v>
      </c>
      <c r="O86" s="21">
        <v>1.0</v>
      </c>
      <c r="P86" s="21">
        <v>1.0</v>
      </c>
      <c r="Q86" s="21">
        <v>1.0</v>
      </c>
      <c r="R86" s="21">
        <v>1.0</v>
      </c>
      <c r="S86" s="21">
        <v>1.0</v>
      </c>
      <c r="T86" s="22">
        <v>1.0</v>
      </c>
      <c r="U86" s="22">
        <v>0.875</v>
      </c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5.75" customHeight="1">
      <c r="A87" s="18" t="s">
        <v>30</v>
      </c>
      <c r="B87" s="19" t="s">
        <v>31</v>
      </c>
      <c r="C87" s="19">
        <v>17.0</v>
      </c>
      <c r="D87" s="19">
        <v>1.5110524007E10</v>
      </c>
      <c r="E87" s="19">
        <v>2.4100102E8</v>
      </c>
      <c r="F87" s="19" t="s">
        <v>108</v>
      </c>
      <c r="G87" s="20" t="str">
        <f t="shared" si="11"/>
        <v>OK</v>
      </c>
      <c r="H87" s="20">
        <f t="shared" si="12"/>
        <v>9</v>
      </c>
      <c r="I87" s="20">
        <f t="shared" si="13"/>
        <v>266</v>
      </c>
      <c r="J87" s="20">
        <f t="shared" si="14"/>
        <v>0</v>
      </c>
      <c r="K87" s="23"/>
      <c r="L87" s="21">
        <v>0.6875</v>
      </c>
      <c r="M87" s="21">
        <v>0.9231</v>
      </c>
      <c r="N87" s="21">
        <v>0.95</v>
      </c>
      <c r="O87" s="21">
        <v>0.9375</v>
      </c>
      <c r="P87" s="21">
        <v>1.0</v>
      </c>
      <c r="Q87" s="21">
        <v>1.0</v>
      </c>
      <c r="R87" s="21">
        <v>0.9412</v>
      </c>
      <c r="S87" s="21">
        <v>0.5556</v>
      </c>
      <c r="T87" s="22">
        <v>1.0</v>
      </c>
      <c r="U87" s="22">
        <v>0.875</v>
      </c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5.75" customHeight="1">
      <c r="A88" s="18" t="s">
        <v>30</v>
      </c>
      <c r="B88" s="19" t="s">
        <v>31</v>
      </c>
      <c r="C88" s="19">
        <v>18.0</v>
      </c>
      <c r="D88" s="19">
        <v>1.5110524008E10</v>
      </c>
      <c r="E88" s="19">
        <v>2.41001021E8</v>
      </c>
      <c r="F88" s="19" t="s">
        <v>109</v>
      </c>
      <c r="G88" s="20" t="str">
        <f t="shared" si="11"/>
        <v>Pending</v>
      </c>
      <c r="H88" s="20">
        <f t="shared" si="12"/>
        <v>-75</v>
      </c>
      <c r="I88" s="20">
        <f t="shared" si="13"/>
        <v>16</v>
      </c>
      <c r="J88" s="20">
        <f t="shared" si="14"/>
        <v>224</v>
      </c>
      <c r="K88" s="23"/>
      <c r="L88" s="21">
        <v>0.0625</v>
      </c>
      <c r="M88" s="21">
        <v>0.0</v>
      </c>
      <c r="N88" s="21">
        <v>0.0</v>
      </c>
      <c r="O88" s="21">
        <v>0.0</v>
      </c>
      <c r="P88" s="21">
        <v>0.0</v>
      </c>
      <c r="Q88" s="21">
        <v>0.0</v>
      </c>
      <c r="R88" s="21">
        <v>0.1176</v>
      </c>
      <c r="S88" s="21">
        <v>0.2222</v>
      </c>
      <c r="T88" s="22">
        <v>0.0556</v>
      </c>
      <c r="U88" s="22">
        <v>0.0625</v>
      </c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5.75" customHeight="1">
      <c r="A89" s="18" t="s">
        <v>30</v>
      </c>
      <c r="B89" s="19" t="s">
        <v>31</v>
      </c>
      <c r="C89" s="19">
        <v>19.0</v>
      </c>
      <c r="D89" s="19">
        <v>1.5110524017E10</v>
      </c>
      <c r="E89" s="19">
        <v>2.41001022E8</v>
      </c>
      <c r="F89" s="19" t="s">
        <v>110</v>
      </c>
      <c r="G89" s="20" t="str">
        <f t="shared" si="11"/>
        <v>OK</v>
      </c>
      <c r="H89" s="20">
        <f t="shared" si="12"/>
        <v>13</v>
      </c>
      <c r="I89" s="20">
        <f t="shared" si="13"/>
        <v>278</v>
      </c>
      <c r="J89" s="20">
        <f t="shared" si="14"/>
        <v>0</v>
      </c>
      <c r="K89" s="23"/>
      <c r="L89" s="21">
        <v>0.9375</v>
      </c>
      <c r="M89" s="21">
        <v>1.0</v>
      </c>
      <c r="N89" s="21">
        <v>1.0</v>
      </c>
      <c r="O89" s="21">
        <v>1.0</v>
      </c>
      <c r="P89" s="21">
        <v>0.9375</v>
      </c>
      <c r="Q89" s="21">
        <v>1.0</v>
      </c>
      <c r="R89" s="21">
        <v>1.0</v>
      </c>
      <c r="S89" s="21">
        <v>0.7778</v>
      </c>
      <c r="T89" s="22">
        <v>0.6667</v>
      </c>
      <c r="U89" s="22">
        <v>0.9375</v>
      </c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5.75" customHeight="1">
      <c r="A90" s="4"/>
      <c r="B90" s="4"/>
      <c r="C90" s="4"/>
      <c r="D90" s="4"/>
      <c r="E90" s="4"/>
      <c r="F90" s="4">
        <f>COUNTA(F71:F89)</f>
        <v>19</v>
      </c>
      <c r="G90" s="20" t="str">
        <f t="shared" si="11"/>
        <v>Pending</v>
      </c>
      <c r="H90" s="20">
        <f t="shared" si="12"/>
        <v>-14</v>
      </c>
      <c r="I90" s="20">
        <f t="shared" si="13"/>
        <v>197</v>
      </c>
      <c r="J90" s="20">
        <f t="shared" si="14"/>
        <v>43</v>
      </c>
      <c r="K90" s="4"/>
      <c r="L90" s="37">
        <f t="shared" ref="L90:Z90" si="15">SUM(L71:L89)/$F$90</f>
        <v>0.4934210526</v>
      </c>
      <c r="M90" s="37">
        <f t="shared" si="15"/>
        <v>0.6072947368</v>
      </c>
      <c r="N90" s="37">
        <f t="shared" si="15"/>
        <v>0.6710526316</v>
      </c>
      <c r="O90" s="37">
        <f t="shared" si="15"/>
        <v>0.7335526316</v>
      </c>
      <c r="P90" s="37">
        <f t="shared" si="15"/>
        <v>0.7039473684</v>
      </c>
      <c r="Q90" s="37">
        <f t="shared" si="15"/>
        <v>0.6940789474</v>
      </c>
      <c r="R90" s="37">
        <f t="shared" si="15"/>
        <v>0.6068157895</v>
      </c>
      <c r="S90" s="37">
        <f t="shared" si="15"/>
        <v>0.6491210526</v>
      </c>
      <c r="T90" s="37">
        <f t="shared" si="15"/>
        <v>0.7514578947</v>
      </c>
      <c r="U90" s="37">
        <f t="shared" si="15"/>
        <v>0.6480263158</v>
      </c>
      <c r="V90" s="37">
        <f t="shared" si="15"/>
        <v>0</v>
      </c>
      <c r="W90" s="37">
        <f t="shared" si="15"/>
        <v>0</v>
      </c>
      <c r="X90" s="37">
        <f t="shared" si="15"/>
        <v>0</v>
      </c>
      <c r="Y90" s="37">
        <f t="shared" si="15"/>
        <v>0</v>
      </c>
      <c r="Z90" s="37">
        <f t="shared" si="15"/>
        <v>0</v>
      </c>
      <c r="AA90" s="4"/>
      <c r="AB90" s="4"/>
      <c r="AC90" s="4"/>
      <c r="AD90" s="4"/>
      <c r="AE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</row>
    <row r="1001" ht="15.75" customHeight="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</row>
  </sheetData>
  <mergeCells count="6">
    <mergeCell ref="A1:O1"/>
    <mergeCell ref="A2:O2"/>
    <mergeCell ref="A3:O3"/>
    <mergeCell ref="A4:O4"/>
    <mergeCell ref="A42:K42"/>
    <mergeCell ref="A69:K69"/>
  </mergeCells>
  <conditionalFormatting sqref="F7:F41 F43:F68 F70:F95">
    <cfRule type="expression" dxfId="0" priority="1">
      <formula>AND(H7&lt;0,K7&lt;J7)</formula>
    </cfRule>
  </conditionalFormatting>
  <conditionalFormatting sqref="F7:F41 F43:F68 F70:F95">
    <cfRule type="expression" dxfId="1" priority="2">
      <formula>AND(H7&lt;0,K7&gt;=J7)</formula>
    </cfRule>
  </conditionalFormatting>
  <conditionalFormatting sqref="F7:F41 F43:F68 F70:F95">
    <cfRule type="expression" dxfId="2" priority="3">
      <formula>H7&gt;=0</formula>
    </cfRule>
  </conditionalFormatting>
  <conditionalFormatting sqref="G7:G41 G43:G68 G70:G95">
    <cfRule type="expression" dxfId="3" priority="4">
      <formula>AND(H7&lt;0,K7&lt;J7)</formula>
    </cfRule>
  </conditionalFormatting>
  <conditionalFormatting sqref="G7:G41 G43:G68 G70:G95">
    <cfRule type="expression" dxfId="1" priority="5">
      <formula>AND(H7&lt;0,K7&gt;=J7)</formula>
    </cfRule>
  </conditionalFormatting>
  <conditionalFormatting sqref="G7:G41 G43:G68 G70:G95">
    <cfRule type="expression" dxfId="4" priority="6">
      <formula>H7&gt;=0</formula>
    </cfRule>
  </conditionalFormatting>
  <conditionalFormatting sqref="H7:H41 H43:H68 H70:H95">
    <cfRule type="cellIs" dxfId="0" priority="7" operator="lessThanOrEqual">
      <formula>-0.01</formula>
    </cfRule>
  </conditionalFormatting>
  <conditionalFormatting sqref="H7:H41 H43:H68 H70:H95">
    <cfRule type="cellIs" dxfId="4" priority="8" operator="equal">
      <formula>0</formula>
    </cfRule>
  </conditionalFormatting>
  <conditionalFormatting sqref="H7:H41 H43:H68 H70:H95">
    <cfRule type="cellIs" dxfId="1" priority="9" operator="greaterThanOrEqual">
      <formula>0.01</formula>
    </cfRule>
  </conditionalFormatting>
  <conditionalFormatting sqref="I7:I41 I43:I68 I70:I95">
    <cfRule type="expression" dxfId="1" priority="10">
      <formula>J7=0</formula>
    </cfRule>
  </conditionalFormatting>
  <conditionalFormatting sqref="I7:I41 I43:I68 I70:I95">
    <cfRule type="expression" dxfId="0" priority="11">
      <formula>J7&gt;0</formula>
    </cfRule>
  </conditionalFormatting>
  <conditionalFormatting sqref="J7:J41 J43:J68 J70:J95">
    <cfRule type="cellIs" dxfId="0" priority="12" operator="greaterThan">
      <formula>0</formula>
    </cfRule>
  </conditionalFormatting>
  <conditionalFormatting sqref="J7:J41 J43:J68 J70:J95">
    <cfRule type="cellIs" dxfId="1" priority="13" operator="equal">
      <formula>0</formula>
    </cfRule>
  </conditionalFormatting>
  <conditionalFormatting sqref="K7:K41 K43:K68 K70:K95">
    <cfRule type="expression" dxfId="1" priority="14">
      <formula>J7=0</formula>
    </cfRule>
  </conditionalFormatting>
  <conditionalFormatting sqref="K7:K41 K43:K68 K70:K95">
    <cfRule type="expression" dxfId="0" priority="15">
      <formula>and(J7&gt;0,J7&gt;K7)</formula>
    </cfRule>
  </conditionalFormatting>
  <conditionalFormatting sqref="K7:K41 K43:K68 K70:K95">
    <cfRule type="expression" dxfId="5" priority="16">
      <formula>or(J7=K7)</formula>
    </cfRule>
  </conditionalFormatting>
  <conditionalFormatting sqref="L7:Z95">
    <cfRule type="cellIs" dxfId="1" priority="17" operator="greaterThanOrEqual">
      <formula>"80.01%"</formula>
    </cfRule>
  </conditionalFormatting>
  <conditionalFormatting sqref="L7:Z95">
    <cfRule type="cellIs" dxfId="0" priority="18" operator="lessThanOrEqual">
      <formula>"79.99%"</formula>
    </cfRule>
  </conditionalFormatting>
  <conditionalFormatting sqref="L7:Z95">
    <cfRule type="cellIs" dxfId="4" priority="19" operator="equal">
      <formula>"80%"</formula>
    </cfRule>
  </conditionalFormatting>
  <printOptions/>
  <pageMargins bottom="0.75" footer="0.0" header="0.0" left="0.7" right="0.7" top="0.75"/>
  <pageSetup orientation="landscape"/>
  <drawing r:id="rId1"/>
</worksheet>
</file>